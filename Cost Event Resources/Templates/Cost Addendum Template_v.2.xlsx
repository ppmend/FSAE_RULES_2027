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einternational-my.sharepoint.com/personal/kzundel_sae_org/Documents/Desktop/"/>
    </mc:Choice>
  </mc:AlternateContent>
  <xr:revisionPtr revIDLastSave="0" documentId="8_{7ED9F5A4-EAA0-40AF-A1AD-7A1CB00F962C}" xr6:coauthVersionLast="47" xr6:coauthVersionMax="47" xr10:uidLastSave="{00000000-0000-0000-0000-000000000000}"/>
  <bookViews>
    <workbookView xWindow="-120" yWindow="-120" windowWidth="29040" windowHeight="15840" xr2:uid="{D799E763-6562-4B72-995A-E66D1F90C21E}"/>
  </bookViews>
  <sheets>
    <sheet name="Instructions" sheetId="1" r:id="rId1"/>
    <sheet name="Cost" sheetId="2" r:id="rId2"/>
    <sheet name="Example" sheetId="3" r:id="rId3"/>
  </sheets>
  <definedNames>
    <definedName name="_xlnm.Print_Area" localSheetId="1">Cost!$A$1:$F$29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E14" i="2" s="1"/>
  <c r="D14" i="3"/>
  <c r="C14" i="3"/>
  <c r="E12" i="3"/>
  <c r="F12" i="3" s="1"/>
  <c r="E11" i="3"/>
  <c r="F11" i="3" s="1"/>
  <c r="E10" i="3"/>
  <c r="F10" i="3" s="1"/>
  <c r="E9" i="3"/>
  <c r="F9" i="3" s="1"/>
  <c r="E8" i="3"/>
  <c r="F8" i="3" s="1"/>
  <c r="E7" i="3"/>
  <c r="F7" i="3" s="1"/>
  <c r="E6" i="3"/>
  <c r="F6" i="3" s="1"/>
  <c r="E5" i="3"/>
  <c r="F5" i="3" s="1"/>
  <c r="F5" i="2" l="1"/>
  <c r="F14" i="2" s="1"/>
  <c r="F14" i="3"/>
  <c r="E14" i="3"/>
</calcChain>
</file>

<file path=xl/sharedStrings.xml><?xml version="1.0" encoding="utf-8"?>
<sst xmlns="http://schemas.openxmlformats.org/spreadsheetml/2006/main" count="81" uniqueCount="52">
  <si>
    <t>ENTER the Information and PRINT the sheet</t>
  </si>
  <si>
    <t>ENTER your University Name and Car Number</t>
  </si>
  <si>
    <t>ENTER a Summary of the Differences in the provided blocks</t>
  </si>
  <si>
    <t>SUBMIT the Printed Copy at Registration</t>
  </si>
  <si>
    <t>Items Added will be cost at 125% of Table Cost</t>
  </si>
  <si>
    <t>Items Removed will be credited at 75% of Table Cost</t>
  </si>
  <si>
    <t>Formula SAE Cost Addendum Instructions</t>
  </si>
  <si>
    <t>Click the "Cost" tab below to print or enter your Addendum information</t>
  </si>
  <si>
    <t>University</t>
  </si>
  <si>
    <t>Car Number</t>
  </si>
  <si>
    <t>Reported Section Cost</t>
  </si>
  <si>
    <t>System</t>
  </si>
  <si>
    <t>Original Total Cost</t>
  </si>
  <si>
    <t>Revised Total Cost</t>
  </si>
  <si>
    <t>Raw Difference</t>
  </si>
  <si>
    <t>Adjusted Difference</t>
  </si>
  <si>
    <t>Total</t>
  </si>
  <si>
    <t>Summary of Differences Listed Above - Attach Any Changes</t>
  </si>
  <si>
    <t>Accepted by:</t>
  </si>
  <si>
    <t>Entered by:</t>
  </si>
  <si>
    <t>Date:</t>
  </si>
  <si>
    <t>Date/Time:</t>
  </si>
  <si>
    <t>University of FSAE</t>
  </si>
  <si>
    <t>Brakes</t>
  </si>
  <si>
    <t>changed material of brake bobbins from aluminum to titanium</t>
  </si>
  <si>
    <t>Differences in cost will automatically populate in the raw and adjusted difference columns</t>
  </si>
  <si>
    <t>INCLUDE any documentation of changes</t>
  </si>
  <si>
    <t>Include old and new printed versions of amended cost for comparison</t>
  </si>
  <si>
    <t>Frame &amp; Body</t>
  </si>
  <si>
    <t>removed undertray</t>
  </si>
  <si>
    <t>Assembly</t>
  </si>
  <si>
    <t>Front Brake Assembly</t>
  </si>
  <si>
    <t>Brake Bobbins</t>
  </si>
  <si>
    <t>P1004</t>
  </si>
  <si>
    <t>P3004</t>
  </si>
  <si>
    <t>Part</t>
  </si>
  <si>
    <t>Part # Base</t>
  </si>
  <si>
    <t>Comments</t>
  </si>
  <si>
    <t>Aerodynamics Assembly</t>
  </si>
  <si>
    <t>Undertray</t>
  </si>
  <si>
    <t>Add a new line in summary of differences if there are multiple changes in one system</t>
  </si>
  <si>
    <t>For example, 1a, 1b, 1c, etc. for 3 part number changes in the brake system</t>
  </si>
  <si>
    <t>Brake System</t>
  </si>
  <si>
    <t>Engine &amp; Drivetrain</t>
  </si>
  <si>
    <t>Instruments, Wiring, &amp; Harness</t>
  </si>
  <si>
    <t>Miscellaneous, Safety, Finish and Assembly</t>
  </si>
  <si>
    <t>Steering System</t>
  </si>
  <si>
    <t>Suspension &amp; Shocks</t>
  </si>
  <si>
    <t>Wheels, Wheel Bearings &amp; Tires</t>
  </si>
  <si>
    <t>The TOTAL Cost should reflect the cost of the whole vehicle</t>
  </si>
  <si>
    <t xml:space="preserve">ENTER the Original Cost, Revised Cost of the corresponding system in the given columns. </t>
  </si>
  <si>
    <t>If there is no difference in the cost, enter the original cost in both columns. (See 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</si>
</sst>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164" fontId="0" fillId="0" borderId="1" xfId="0" applyNumberForma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164" fontId="1" fillId="0" borderId="2" xfId="0" applyNumberFormat="1" applyFont="1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 applyProtection="1">
      <alignment wrapText="1"/>
      <protection locked="0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6</xdr:row>
      <xdr:rowOff>164963</xdr:rowOff>
    </xdr:from>
    <xdr:to>
      <xdr:col>26</xdr:col>
      <xdr:colOff>544467</xdr:colOff>
      <xdr:row>28</xdr:row>
      <xdr:rowOff>38793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F74D7E-9E1C-F681-EA0C-831500466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1317488"/>
          <a:ext cx="9050292" cy="4064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B294-6422-468C-B14D-1E82E5F304DB}">
  <dimension ref="A1:B29"/>
  <sheetViews>
    <sheetView tabSelected="1" view="pageBreakPreview" zoomScale="85" zoomScaleNormal="100" zoomScaleSheetLayoutView="85" workbookViewId="0">
      <selection activeCell="C7" sqref="C7"/>
    </sheetView>
  </sheetViews>
  <sheetFormatPr defaultRowHeight="15" x14ac:dyDescent="0.25"/>
  <sheetData>
    <row r="1" spans="1:2" ht="15.75" x14ac:dyDescent="0.25">
      <c r="A1" s="1" t="s">
        <v>6</v>
      </c>
    </row>
    <row r="3" spans="1:2" x14ac:dyDescent="0.25">
      <c r="A3" s="2" t="s">
        <v>7</v>
      </c>
    </row>
    <row r="5" spans="1:2" x14ac:dyDescent="0.25">
      <c r="A5" t="s">
        <v>0</v>
      </c>
    </row>
    <row r="7" spans="1:2" x14ac:dyDescent="0.25">
      <c r="A7" t="s">
        <v>1</v>
      </c>
    </row>
    <row r="9" spans="1:2" x14ac:dyDescent="0.25">
      <c r="A9" t="s">
        <v>50</v>
      </c>
    </row>
    <row r="10" spans="1:2" x14ac:dyDescent="0.25">
      <c r="B10" t="s">
        <v>51</v>
      </c>
    </row>
    <row r="12" spans="1:2" x14ac:dyDescent="0.25">
      <c r="A12" t="s">
        <v>25</v>
      </c>
    </row>
    <row r="14" spans="1:2" x14ac:dyDescent="0.25">
      <c r="A14" t="s">
        <v>49</v>
      </c>
    </row>
    <row r="16" spans="1:2" x14ac:dyDescent="0.25">
      <c r="A16" t="s">
        <v>2</v>
      </c>
    </row>
    <row r="18" spans="1:2" x14ac:dyDescent="0.25">
      <c r="A18" t="s">
        <v>40</v>
      </c>
    </row>
    <row r="19" spans="1:2" x14ac:dyDescent="0.25">
      <c r="B19" t="s">
        <v>41</v>
      </c>
    </row>
    <row r="22" spans="1:2" x14ac:dyDescent="0.25">
      <c r="A22" t="s">
        <v>26</v>
      </c>
    </row>
    <row r="23" spans="1:2" x14ac:dyDescent="0.25">
      <c r="B23" t="s">
        <v>27</v>
      </c>
    </row>
    <row r="25" spans="1:2" x14ac:dyDescent="0.25">
      <c r="A25" t="s">
        <v>3</v>
      </c>
    </row>
    <row r="28" spans="1:2" x14ac:dyDescent="0.25">
      <c r="A28" t="s">
        <v>4</v>
      </c>
    </row>
    <row r="29" spans="1:2" x14ac:dyDescent="0.25">
      <c r="A29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571A-C8B5-46D1-84B0-A2F5A7D5941C}">
  <sheetPr>
    <pageSetUpPr fitToPage="1"/>
  </sheetPr>
  <dimension ref="A1:F30"/>
  <sheetViews>
    <sheetView zoomScaleNormal="100" workbookViewId="0">
      <selection activeCell="B13" sqref="B13"/>
    </sheetView>
  </sheetViews>
  <sheetFormatPr defaultRowHeight="15" x14ac:dyDescent="0.25"/>
  <cols>
    <col min="1" max="1" width="10.85546875" customWidth="1"/>
    <col min="2" max="2" width="35.5703125" customWidth="1"/>
    <col min="3" max="3" width="19.42578125" bestFit="1" customWidth="1"/>
    <col min="4" max="4" width="17.42578125" customWidth="1"/>
    <col min="5" max="5" width="11.28515625" customWidth="1"/>
    <col min="6" max="6" width="25.85546875" customWidth="1"/>
  </cols>
  <sheetData>
    <row r="1" spans="1:6" ht="15.75" thickBot="1" x14ac:dyDescent="0.3">
      <c r="A1" s="2" t="s">
        <v>8</v>
      </c>
      <c r="B1" s="16"/>
      <c r="D1" s="2" t="s">
        <v>9</v>
      </c>
      <c r="E1" s="16"/>
    </row>
    <row r="2" spans="1:6" ht="15.75" thickTop="1" x14ac:dyDescent="0.25"/>
    <row r="3" spans="1:6" x14ac:dyDescent="0.25">
      <c r="A3" s="20" t="s">
        <v>10</v>
      </c>
      <c r="B3" s="20"/>
      <c r="C3" s="20"/>
      <c r="D3" s="20"/>
      <c r="E3" s="20"/>
    </row>
    <row r="4" spans="1:6" ht="30" x14ac:dyDescent="0.25">
      <c r="A4" s="3"/>
      <c r="B4" s="7" t="s">
        <v>11</v>
      </c>
      <c r="C4" s="8" t="s">
        <v>12</v>
      </c>
      <c r="D4" s="8" t="s">
        <v>13</v>
      </c>
      <c r="E4" s="8" t="s">
        <v>14</v>
      </c>
      <c r="F4" s="8" t="s">
        <v>15</v>
      </c>
    </row>
    <row r="5" spans="1:6" x14ac:dyDescent="0.25">
      <c r="A5" s="4">
        <v>1</v>
      </c>
      <c r="B5" s="14" t="s">
        <v>42</v>
      </c>
      <c r="C5" s="15"/>
      <c r="D5" s="15"/>
      <c r="E5" s="10">
        <f>D5-C5</f>
        <v>0</v>
      </c>
      <c r="F5" s="10">
        <f>IF(E5&lt;0,E5*0.75,E5*1.25)</f>
        <v>0</v>
      </c>
    </row>
    <row r="6" spans="1:6" x14ac:dyDescent="0.25">
      <c r="A6" s="4">
        <v>2</v>
      </c>
      <c r="B6" s="14" t="s">
        <v>43</v>
      </c>
      <c r="C6" s="15"/>
      <c r="D6" s="15"/>
      <c r="E6" s="10">
        <f t="shared" ref="E6:E12" si="0">D6-C6</f>
        <v>0</v>
      </c>
      <c r="F6" s="10">
        <f t="shared" ref="F6:F12" si="1">IF(E6&lt;0,E6*0.75,E6*1.25)</f>
        <v>0</v>
      </c>
    </row>
    <row r="7" spans="1:6" x14ac:dyDescent="0.25">
      <c r="A7" s="4">
        <v>3</v>
      </c>
      <c r="B7" s="14" t="s">
        <v>28</v>
      </c>
      <c r="C7" s="15"/>
      <c r="D7" s="15"/>
      <c r="E7" s="10">
        <f t="shared" si="0"/>
        <v>0</v>
      </c>
      <c r="F7" s="10">
        <f t="shared" si="1"/>
        <v>0</v>
      </c>
    </row>
    <row r="8" spans="1:6" x14ac:dyDescent="0.25">
      <c r="A8" s="4">
        <v>4</v>
      </c>
      <c r="B8" s="14" t="s">
        <v>44</v>
      </c>
      <c r="C8" s="15"/>
      <c r="D8" s="15"/>
      <c r="E8" s="10">
        <f t="shared" si="0"/>
        <v>0</v>
      </c>
      <c r="F8" s="10">
        <f t="shared" si="1"/>
        <v>0</v>
      </c>
    </row>
    <row r="9" spans="1:6" x14ac:dyDescent="0.25">
      <c r="A9" s="4">
        <v>5</v>
      </c>
      <c r="B9" s="14" t="s">
        <v>45</v>
      </c>
      <c r="C9" s="15"/>
      <c r="D9" s="15"/>
      <c r="E9" s="10">
        <f t="shared" si="0"/>
        <v>0</v>
      </c>
      <c r="F9" s="10">
        <f t="shared" si="1"/>
        <v>0</v>
      </c>
    </row>
    <row r="10" spans="1:6" x14ac:dyDescent="0.25">
      <c r="A10" s="4">
        <v>6</v>
      </c>
      <c r="B10" s="14" t="s">
        <v>46</v>
      </c>
      <c r="C10" s="15"/>
      <c r="D10" s="15"/>
      <c r="E10" s="10">
        <f t="shared" si="0"/>
        <v>0</v>
      </c>
      <c r="F10" s="10">
        <f t="shared" si="1"/>
        <v>0</v>
      </c>
    </row>
    <row r="11" spans="1:6" x14ac:dyDescent="0.25">
      <c r="A11" s="4">
        <v>7</v>
      </c>
      <c r="B11" s="14" t="s">
        <v>47</v>
      </c>
      <c r="C11" s="15"/>
      <c r="D11" s="15"/>
      <c r="E11" s="10">
        <f t="shared" si="0"/>
        <v>0</v>
      </c>
      <c r="F11" s="10">
        <f t="shared" si="1"/>
        <v>0</v>
      </c>
    </row>
    <row r="12" spans="1:6" x14ac:dyDescent="0.25">
      <c r="A12" s="4">
        <v>8</v>
      </c>
      <c r="B12" s="14" t="s">
        <v>48</v>
      </c>
      <c r="C12" s="15"/>
      <c r="D12" s="15"/>
      <c r="E12" s="10">
        <f t="shared" si="0"/>
        <v>0</v>
      </c>
      <c r="F12" s="10">
        <f t="shared" si="1"/>
        <v>0</v>
      </c>
    </row>
    <row r="13" spans="1:6" ht="15.75" thickBot="1" x14ac:dyDescent="0.3"/>
    <row r="14" spans="1:6" ht="15.75" thickBot="1" x14ac:dyDescent="0.3">
      <c r="A14" s="9" t="s">
        <v>16</v>
      </c>
      <c r="C14" s="13">
        <f>SUM(C5:C12)</f>
        <v>0</v>
      </c>
      <c r="D14" s="13">
        <f>SUM(D5:D12)</f>
        <v>0</v>
      </c>
      <c r="E14" s="11">
        <f>SUM(E5:E12)</f>
        <v>0</v>
      </c>
      <c r="F14" s="12">
        <f>SUM(F5:F12)</f>
        <v>0</v>
      </c>
    </row>
    <row r="16" spans="1:6" x14ac:dyDescent="0.25">
      <c r="A16" s="20" t="s">
        <v>17</v>
      </c>
      <c r="B16" s="20"/>
      <c r="C16" s="20"/>
      <c r="D16" s="20"/>
      <c r="E16" s="20"/>
      <c r="F16" s="20"/>
    </row>
    <row r="17" spans="1:6" x14ac:dyDescent="0.25">
      <c r="A17" s="9"/>
      <c r="B17" s="19" t="s">
        <v>11</v>
      </c>
      <c r="C17" s="19" t="s">
        <v>30</v>
      </c>
      <c r="D17" s="19" t="s">
        <v>35</v>
      </c>
      <c r="E17" s="19" t="s">
        <v>36</v>
      </c>
      <c r="F17" s="19" t="s">
        <v>37</v>
      </c>
    </row>
    <row r="18" spans="1:6" x14ac:dyDescent="0.25">
      <c r="A18" s="4">
        <v>1</v>
      </c>
      <c r="B18" s="17"/>
      <c r="C18" s="17"/>
      <c r="D18" s="17"/>
      <c r="E18" s="17"/>
      <c r="F18" s="18"/>
    </row>
    <row r="19" spans="1:6" x14ac:dyDescent="0.25">
      <c r="A19" s="4">
        <v>2</v>
      </c>
      <c r="B19" s="17"/>
      <c r="C19" s="17"/>
      <c r="D19" s="17"/>
      <c r="E19" s="17"/>
      <c r="F19" s="18"/>
    </row>
    <row r="20" spans="1:6" x14ac:dyDescent="0.25">
      <c r="A20" s="4">
        <v>3</v>
      </c>
      <c r="B20" s="17"/>
      <c r="C20" s="17"/>
      <c r="D20" s="17"/>
      <c r="E20" s="17"/>
      <c r="F20" s="17"/>
    </row>
    <row r="21" spans="1:6" x14ac:dyDescent="0.25">
      <c r="A21" s="4">
        <v>4</v>
      </c>
      <c r="B21" s="17"/>
      <c r="C21" s="17"/>
      <c r="D21" s="17"/>
      <c r="E21" s="17"/>
      <c r="F21" s="17"/>
    </row>
    <row r="22" spans="1:6" x14ac:dyDescent="0.25">
      <c r="A22" s="4">
        <v>5</v>
      </c>
      <c r="B22" s="17"/>
      <c r="C22" s="17"/>
      <c r="D22" s="17"/>
      <c r="E22" s="17"/>
      <c r="F22" s="17"/>
    </row>
    <row r="23" spans="1:6" x14ac:dyDescent="0.25">
      <c r="A23" s="4">
        <v>6</v>
      </c>
      <c r="B23" s="17"/>
      <c r="C23" s="17"/>
      <c r="D23" s="17"/>
      <c r="E23" s="17"/>
      <c r="F23" s="17"/>
    </row>
    <row r="24" spans="1:6" x14ac:dyDescent="0.25">
      <c r="A24" s="4">
        <v>7</v>
      </c>
      <c r="B24" s="17"/>
      <c r="C24" s="17"/>
      <c r="D24" s="17"/>
      <c r="E24" s="17"/>
      <c r="F24" s="17"/>
    </row>
    <row r="25" spans="1:6" x14ac:dyDescent="0.25">
      <c r="A25" s="4">
        <v>8</v>
      </c>
      <c r="B25" s="17"/>
      <c r="C25" s="17"/>
      <c r="D25" s="17"/>
      <c r="E25" s="17"/>
      <c r="F25" s="17"/>
    </row>
    <row r="27" spans="1:6" ht="15.75" thickBot="1" x14ac:dyDescent="0.3">
      <c r="B27" s="5" t="s">
        <v>18</v>
      </c>
      <c r="C27" s="6"/>
      <c r="D27" s="5" t="s">
        <v>20</v>
      </c>
      <c r="E27" s="6"/>
    </row>
    <row r="28" spans="1:6" ht="15.75" thickTop="1" x14ac:dyDescent="0.25">
      <c r="D28" s="5"/>
    </row>
    <row r="29" spans="1:6" ht="15.75" thickBot="1" x14ac:dyDescent="0.3">
      <c r="B29" s="5" t="s">
        <v>19</v>
      </c>
      <c r="C29" s="6"/>
      <c r="D29" s="5" t="s">
        <v>21</v>
      </c>
      <c r="E29" s="6"/>
    </row>
    <row r="30" spans="1:6" ht="15.75" thickTop="1" x14ac:dyDescent="0.25"/>
  </sheetData>
  <sheetProtection algorithmName="SHA-512" hashValue="fq5GHPdnhjqcxC0Uysc1xx8zyFSo6OYcXd+GtwQxUJtm0qAQd2WD3chiZ2cO/eoYg3i6w73fBYlvyrLK9bSv3A==" saltValue="BLIAjb7uVstsIbLR4GUIYg==" spinCount="100000" sheet="1" objects="1" scenarios="1"/>
  <mergeCells count="2">
    <mergeCell ref="A3:E3"/>
    <mergeCell ref="A16:F16"/>
  </mergeCells>
  <pageMargins left="0.25" right="0.25" top="1.25" bottom="0.75" header="0.3" footer="0.3"/>
  <pageSetup scale="84" orientation="portrait" r:id="rId1"/>
  <headerFooter>
    <oddHeader>&amp;L&amp;G</oddHeader>
    <oddFooter>&amp;L(c) SAE International&amp;RRev 1 - 5.5.2022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E2B0-6931-4359-A672-7F494ECEBC62}">
  <dimension ref="A1:F30"/>
  <sheetViews>
    <sheetView workbookViewId="0">
      <selection activeCell="J13" sqref="J13"/>
    </sheetView>
  </sheetViews>
  <sheetFormatPr defaultRowHeight="15" x14ac:dyDescent="0.25"/>
  <cols>
    <col min="1" max="1" width="10.85546875" customWidth="1"/>
    <col min="2" max="2" width="35.5703125" customWidth="1"/>
    <col min="3" max="3" width="21.85546875" bestFit="1" customWidth="1"/>
    <col min="4" max="4" width="17.42578125" customWidth="1"/>
    <col min="5" max="5" width="11.28515625" customWidth="1"/>
    <col min="6" max="6" width="25.85546875" customWidth="1"/>
  </cols>
  <sheetData>
    <row r="1" spans="1:6" ht="15.75" thickBot="1" x14ac:dyDescent="0.3">
      <c r="A1" s="2" t="s">
        <v>8</v>
      </c>
      <c r="B1" s="16" t="s">
        <v>22</v>
      </c>
      <c r="D1" s="2" t="s">
        <v>9</v>
      </c>
      <c r="E1" s="16">
        <v>99</v>
      </c>
    </row>
    <row r="2" spans="1:6" ht="15.75" thickTop="1" x14ac:dyDescent="0.25"/>
    <row r="3" spans="1:6" x14ac:dyDescent="0.25">
      <c r="A3" s="20" t="s">
        <v>10</v>
      </c>
      <c r="B3" s="20"/>
      <c r="C3" s="20"/>
      <c r="D3" s="20"/>
      <c r="E3" s="20"/>
    </row>
    <row r="4" spans="1:6" ht="30" x14ac:dyDescent="0.25">
      <c r="A4" s="3"/>
      <c r="B4" s="7" t="s">
        <v>11</v>
      </c>
      <c r="C4" s="8" t="s">
        <v>12</v>
      </c>
      <c r="D4" s="8" t="s">
        <v>13</v>
      </c>
      <c r="E4" s="8" t="s">
        <v>14</v>
      </c>
      <c r="F4" s="8" t="s">
        <v>15</v>
      </c>
    </row>
    <row r="5" spans="1:6" x14ac:dyDescent="0.25">
      <c r="A5" s="4">
        <v>1</v>
      </c>
      <c r="B5" s="14" t="s">
        <v>42</v>
      </c>
      <c r="C5" s="15">
        <v>1747.36</v>
      </c>
      <c r="D5" s="15">
        <v>1893</v>
      </c>
      <c r="E5" s="10">
        <f>D5-C5</f>
        <v>145.6400000000001</v>
      </c>
      <c r="F5" s="10">
        <f>IF(E5&lt;0,E5*0.75,E5*1.25)</f>
        <v>182.05000000000013</v>
      </c>
    </row>
    <row r="6" spans="1:6" x14ac:dyDescent="0.25">
      <c r="A6" s="4">
        <v>2</v>
      </c>
      <c r="B6" s="14" t="s">
        <v>43</v>
      </c>
      <c r="C6" s="15">
        <v>2425.13</v>
      </c>
      <c r="D6" s="15">
        <v>2425.13</v>
      </c>
      <c r="E6" s="10">
        <f t="shared" ref="E6:E12" si="0">D6-C6</f>
        <v>0</v>
      </c>
      <c r="F6" s="10">
        <f t="shared" ref="F6:F12" si="1">IF(E6&lt;0,E6*0.75,E6*1.25)</f>
        <v>0</v>
      </c>
    </row>
    <row r="7" spans="1:6" x14ac:dyDescent="0.25">
      <c r="A7" s="4">
        <v>3</v>
      </c>
      <c r="B7" s="14" t="s">
        <v>28</v>
      </c>
      <c r="C7" s="15">
        <v>3875.74</v>
      </c>
      <c r="D7" s="15">
        <v>2425.13</v>
      </c>
      <c r="E7" s="10">
        <f t="shared" si="0"/>
        <v>-1450.6099999999997</v>
      </c>
      <c r="F7" s="10">
        <f t="shared" si="1"/>
        <v>-1087.9574999999998</v>
      </c>
    </row>
    <row r="8" spans="1:6" x14ac:dyDescent="0.25">
      <c r="A8" s="4">
        <v>4</v>
      </c>
      <c r="B8" s="14" t="s">
        <v>44</v>
      </c>
      <c r="C8" s="15">
        <v>2345</v>
      </c>
      <c r="D8" s="15">
        <v>2345</v>
      </c>
      <c r="E8" s="10">
        <f t="shared" si="0"/>
        <v>0</v>
      </c>
      <c r="F8" s="10">
        <f t="shared" si="1"/>
        <v>0</v>
      </c>
    </row>
    <row r="9" spans="1:6" x14ac:dyDescent="0.25">
      <c r="A9" s="4">
        <v>5</v>
      </c>
      <c r="B9" s="14" t="s">
        <v>45</v>
      </c>
      <c r="C9" s="15">
        <v>276.5</v>
      </c>
      <c r="D9" s="15">
        <v>276.5</v>
      </c>
      <c r="E9" s="10">
        <f t="shared" si="0"/>
        <v>0</v>
      </c>
      <c r="F9" s="10">
        <f t="shared" si="1"/>
        <v>0</v>
      </c>
    </row>
    <row r="10" spans="1:6" x14ac:dyDescent="0.25">
      <c r="A10" s="4">
        <v>6</v>
      </c>
      <c r="B10" s="14" t="s">
        <v>46</v>
      </c>
      <c r="C10" s="15">
        <v>365.76</v>
      </c>
      <c r="D10" s="15">
        <v>365.76</v>
      </c>
      <c r="E10" s="10">
        <f t="shared" si="0"/>
        <v>0</v>
      </c>
      <c r="F10" s="10">
        <f t="shared" si="1"/>
        <v>0</v>
      </c>
    </row>
    <row r="11" spans="1:6" x14ac:dyDescent="0.25">
      <c r="A11" s="4">
        <v>7</v>
      </c>
      <c r="B11" s="14" t="s">
        <v>47</v>
      </c>
      <c r="C11" s="15">
        <v>3400.25</v>
      </c>
      <c r="D11" s="15">
        <v>3400.25</v>
      </c>
      <c r="E11" s="10">
        <f t="shared" si="0"/>
        <v>0</v>
      </c>
      <c r="F11" s="10">
        <f t="shared" si="1"/>
        <v>0</v>
      </c>
    </row>
    <row r="12" spans="1:6" x14ac:dyDescent="0.25">
      <c r="A12" s="4">
        <v>8</v>
      </c>
      <c r="B12" s="14" t="s">
        <v>48</v>
      </c>
      <c r="C12" s="15">
        <v>1150.5</v>
      </c>
      <c r="D12" s="15">
        <v>1150.5</v>
      </c>
      <c r="E12" s="10">
        <f t="shared" si="0"/>
        <v>0</v>
      </c>
      <c r="F12" s="10">
        <f t="shared" si="1"/>
        <v>0</v>
      </c>
    </row>
    <row r="13" spans="1:6" ht="15.75" thickBot="1" x14ac:dyDescent="0.3"/>
    <row r="14" spans="1:6" ht="15.75" thickBot="1" x14ac:dyDescent="0.3">
      <c r="A14" s="9" t="s">
        <v>16</v>
      </c>
      <c r="C14" s="13">
        <f>SUM(C5:C12)</f>
        <v>15586.24</v>
      </c>
      <c r="D14" s="13">
        <f>SUM(D5:D12)</f>
        <v>14281.27</v>
      </c>
      <c r="E14" s="11">
        <f>SUM(E5:E12)</f>
        <v>-1304.9699999999996</v>
      </c>
      <c r="F14" s="12">
        <f>SUM(F5:F12)</f>
        <v>-905.90749999999957</v>
      </c>
    </row>
    <row r="16" spans="1:6" x14ac:dyDescent="0.25">
      <c r="A16" s="20" t="s">
        <v>17</v>
      </c>
      <c r="B16" s="20"/>
      <c r="C16" s="20"/>
      <c r="D16" s="20"/>
      <c r="E16" s="20"/>
      <c r="F16" s="20"/>
    </row>
    <row r="17" spans="1:6" x14ac:dyDescent="0.25">
      <c r="A17" s="9"/>
      <c r="B17" s="19" t="s">
        <v>11</v>
      </c>
      <c r="C17" s="19" t="s">
        <v>30</v>
      </c>
      <c r="D17" s="19" t="s">
        <v>35</v>
      </c>
      <c r="E17" s="19" t="s">
        <v>36</v>
      </c>
      <c r="F17" s="19" t="s">
        <v>37</v>
      </c>
    </row>
    <row r="18" spans="1:6" ht="45" x14ac:dyDescent="0.25">
      <c r="A18" s="4">
        <v>1</v>
      </c>
      <c r="B18" s="17" t="s">
        <v>23</v>
      </c>
      <c r="C18" s="17" t="s">
        <v>31</v>
      </c>
      <c r="D18" s="17" t="s">
        <v>32</v>
      </c>
      <c r="E18" s="17" t="s">
        <v>33</v>
      </c>
      <c r="F18" s="18" t="s">
        <v>24</v>
      </c>
    </row>
    <row r="19" spans="1:6" x14ac:dyDescent="0.25">
      <c r="A19" s="4">
        <v>2</v>
      </c>
      <c r="B19" s="17" t="s">
        <v>28</v>
      </c>
      <c r="C19" s="17" t="s">
        <v>38</v>
      </c>
      <c r="D19" s="17" t="s">
        <v>39</v>
      </c>
      <c r="E19" s="17" t="s">
        <v>34</v>
      </c>
      <c r="F19" s="18" t="s">
        <v>29</v>
      </c>
    </row>
    <row r="20" spans="1:6" x14ac:dyDescent="0.25">
      <c r="A20" s="4">
        <v>3</v>
      </c>
      <c r="B20" s="17"/>
      <c r="C20" s="17"/>
      <c r="D20" s="17"/>
      <c r="E20" s="17"/>
      <c r="F20" s="17"/>
    </row>
    <row r="21" spans="1:6" x14ac:dyDescent="0.25">
      <c r="A21" s="4">
        <v>4</v>
      </c>
      <c r="B21" s="17"/>
      <c r="C21" s="17"/>
      <c r="D21" s="17"/>
      <c r="E21" s="17"/>
      <c r="F21" s="17"/>
    </row>
    <row r="22" spans="1:6" x14ac:dyDescent="0.25">
      <c r="A22" s="4">
        <v>5</v>
      </c>
      <c r="B22" s="17"/>
      <c r="C22" s="17"/>
      <c r="D22" s="17"/>
      <c r="E22" s="17"/>
      <c r="F22" s="17"/>
    </row>
    <row r="23" spans="1:6" x14ac:dyDescent="0.25">
      <c r="A23" s="4">
        <v>6</v>
      </c>
      <c r="B23" s="17"/>
      <c r="C23" s="17"/>
      <c r="D23" s="17"/>
      <c r="E23" s="17"/>
      <c r="F23" s="17"/>
    </row>
    <row r="24" spans="1:6" x14ac:dyDescent="0.25">
      <c r="A24" s="4">
        <v>7</v>
      </c>
      <c r="B24" s="17"/>
      <c r="C24" s="17"/>
      <c r="D24" s="17"/>
      <c r="E24" s="17"/>
      <c r="F24" s="17"/>
    </row>
    <row r="25" spans="1:6" x14ac:dyDescent="0.25">
      <c r="A25" s="4">
        <v>8</v>
      </c>
      <c r="B25" s="17"/>
      <c r="C25" s="17"/>
      <c r="D25" s="17"/>
      <c r="E25" s="17"/>
      <c r="F25" s="17"/>
    </row>
    <row r="27" spans="1:6" ht="15.75" thickBot="1" x14ac:dyDescent="0.3">
      <c r="B27" s="5" t="s">
        <v>18</v>
      </c>
      <c r="C27" s="6"/>
      <c r="D27" s="5" t="s">
        <v>20</v>
      </c>
      <c r="E27" s="6"/>
    </row>
    <row r="28" spans="1:6" ht="15.75" thickTop="1" x14ac:dyDescent="0.25">
      <c r="D28" s="5"/>
    </row>
    <row r="29" spans="1:6" ht="15.75" thickBot="1" x14ac:dyDescent="0.3">
      <c r="B29" s="5" t="s">
        <v>19</v>
      </c>
      <c r="C29" s="6"/>
      <c r="D29" s="5" t="s">
        <v>21</v>
      </c>
      <c r="E29" s="6"/>
    </row>
    <row r="30" spans="1:6" ht="15.75" thickTop="1" x14ac:dyDescent="0.25"/>
  </sheetData>
  <sheetProtection algorithmName="SHA-512" hashValue="2sbUX+aOOkJAf8lRs6N+4t8yHtQwAJMQRD2hY7L9fdKJChZTTk8bbNCyHTCAq9uRtjzvWaJ+SrHgSKS8HMeB8w==" saltValue="5FIZUxoPTrgSuMWu1Lxg6w==" spinCount="100000" sheet="1" objects="1" scenarios="1"/>
  <mergeCells count="2">
    <mergeCell ref="A3:E3"/>
    <mergeCell ref="A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Instructions</vt:lpstr>
      <vt:lpstr>Cost</vt:lpstr>
      <vt:lpstr>Example</vt:lpstr>
      <vt:lpstr>Cost!Print_Area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Rodgers</dc:creator>
  <cp:lastModifiedBy>Kaley Zundel</cp:lastModifiedBy>
  <cp:lastPrinted>2022-05-05T20:05:48Z</cp:lastPrinted>
  <dcterms:created xsi:type="dcterms:W3CDTF">2022-05-03T23:59:47Z</dcterms:created>
  <dcterms:modified xsi:type="dcterms:W3CDTF">2022-06-07T17:13:31Z</dcterms:modified>
</cp:coreProperties>
</file>