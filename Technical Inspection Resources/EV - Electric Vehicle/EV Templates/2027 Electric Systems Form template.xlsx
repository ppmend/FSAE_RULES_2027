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S:\EduRel\Private\STAFF FOLDERS\Kaley\2027\Rules &amp; Documents\"/>
    </mc:Choice>
  </mc:AlternateContent>
  <xr:revisionPtr revIDLastSave="0" documentId="8_{4BD4E1B4-AD9F-45EF-A210-1A4CFF4FB44E}" xr6:coauthVersionLast="47" xr6:coauthVersionMax="47" xr10:uidLastSave="{00000000-0000-0000-0000-000000000000}"/>
  <workbookProtection workbookAlgorithmName="SHA-512" workbookHashValue="g0BadbIhm9zq7++RE63nmbmCKW8zaG8B4XIyxNaIBBdXRHsr6Pt1VctFQgdtrTc2m1sc2BSm5yIpl0hC9PzzTw==" workbookSaltValue="/XjClr4W984DAAdAeLbpiA==" workbookSpinCount="100000" lockStructure="1"/>
  <bookViews>
    <workbookView xWindow="28680" yWindow="-120" windowWidth="29040" windowHeight="15720" tabRatio="1000" xr2:uid="{C54BC1C3-405D-4904-8A77-C1496FAFBD6B}"/>
  </bookViews>
  <sheets>
    <sheet name="Overview" sheetId="10" r:id="rId1"/>
    <sheet name="Datasheets" sheetId="1" r:id="rId2"/>
    <sheet name="TS Schematics" sheetId="9" r:id="rId3"/>
    <sheet name="Tractive Battery" sheetId="3" r:id="rId4"/>
    <sheet name="PrechargeDischarge" sheetId="4" r:id="rId5"/>
    <sheet name="Shutdown Circuit" sheetId="2" r:id="rId6"/>
    <sheet name="Charging" sheetId="5" r:id="rId7"/>
    <sheet name="Torque Security" sheetId="6" r:id="rId8"/>
    <sheet name="Other" sheetId="7" r:id="rId9"/>
  </sheets>
  <definedNames>
    <definedName name="AccumulatorStatuses">INDIRECT({"Accumulator!$I$8","Accumulator!$P$8","Accumulator!$V$8","Accumulator!$AC$8","Accumulator!$Z$52","Accumulator!$Q$52","Accumulator!$H$52","Accumulator!$F$58"})</definedName>
    <definedName name="BattCellCapacity">Datasheets!$D$5</definedName>
    <definedName name="BattCellMaxContI">Datasheets!$D$10</definedName>
    <definedName name="BattCellMaxI">Datasheets!$D$9</definedName>
    <definedName name="BattCellMaxV">Datasheets!$D$6</definedName>
    <definedName name="BattCellNomV">Datasheets!$D$7</definedName>
    <definedName name="BusCap">PrechargeDischarge!$D$10</definedName>
    <definedName name="CellsPerTempSensor">'Tractive Battery'!$Q$27</definedName>
    <definedName name="ConductorNames">Datasheets!$A$20:$A$38</definedName>
    <definedName name="ConductorsTable">Datasheets!$A$20:$I$38</definedName>
    <definedName name="ConnectorNames">Datasheets!$A$74:$A$92</definedName>
    <definedName name="ConnectorsTable">Datasheets!$A$74:$F$92</definedName>
    <definedName name="ContactorNames">Datasheets!$A$66:$A$70</definedName>
    <definedName name="ContactorsTable">Datasheets!$A$66:$I$70</definedName>
    <definedName name="DischargeRes">PrechargeDischarge!$J$6</definedName>
    <definedName name="ErrorText">"WARNING"</definedName>
    <definedName name="FuseNames">Datasheets!$A$42:$A$53</definedName>
    <definedName name="FusesTable">Datasheets!$A$42:$G$53</definedName>
    <definedName name="FusibleLink_Current1">'Tractive Battery'!#REF!</definedName>
    <definedName name="FusibleLink_Current10">'Tractive Battery'!#REF!</definedName>
    <definedName name="FusibleLink_Current11">'Tractive Battery'!#REF!</definedName>
    <definedName name="FusibleLink_Current12">'Tractive Battery'!#REF!</definedName>
    <definedName name="FusibleLink_Current13">'Tractive Battery'!#REF!</definedName>
    <definedName name="FusibleLink_Current14">'Tractive Battery'!#REF!</definedName>
    <definedName name="FusibleLink_Current15">'Tractive Battery'!#REF!</definedName>
    <definedName name="FusibleLink_Current16">'Tractive Battery'!#REF!</definedName>
    <definedName name="FusibleLink_Current2">'Tractive Battery'!#REF!</definedName>
    <definedName name="FusibleLink_Current3">'Tractive Battery'!#REF!</definedName>
    <definedName name="FusibleLink_Current4">'Tractive Battery'!#REF!</definedName>
    <definedName name="FusibleLink_Current5">'Tractive Battery'!#REF!</definedName>
    <definedName name="FusibleLink_Current6">'Tractive Battery'!#REF!</definedName>
    <definedName name="FusibleLink_Current7">'Tractive Battery'!#REF!</definedName>
    <definedName name="FusibleLink_Current8">'Tractive Battery'!#REF!</definedName>
    <definedName name="FusibleLink_Current9">'Tractive Battery'!#REF!</definedName>
    <definedName name="FusibleLink_Time1">'Tractive Battery'!#REF!</definedName>
    <definedName name="FusibleLink_Time10">'Tractive Battery'!#REF!</definedName>
    <definedName name="FusibleLink_Time11">'Tractive Battery'!#REF!</definedName>
    <definedName name="FusibleLink_Time12">'Tractive Battery'!#REF!</definedName>
    <definedName name="FusibleLink_Time13">'Tractive Battery'!#REF!</definedName>
    <definedName name="FusibleLink_Time14">'Tractive Battery'!#REF!</definedName>
    <definedName name="FusibleLink_Time15">'Tractive Battery'!#REF!</definedName>
    <definedName name="FusibleLink_Time16">'Tractive Battery'!#REF!</definedName>
    <definedName name="FusibleLink_Time2">'Tractive Battery'!#REF!</definedName>
    <definedName name="FusibleLink_Time3">'Tractive Battery'!#REF!</definedName>
    <definedName name="FusibleLink_Time4">'Tractive Battery'!#REF!</definedName>
    <definedName name="FusibleLink_Time5">'Tractive Battery'!#REF!</definedName>
    <definedName name="FusibleLink_Time6">'Tractive Battery'!#REF!</definedName>
    <definedName name="FusibleLink_Time7">'Tractive Battery'!#REF!</definedName>
    <definedName name="FusibleLink_Time8">'Tractive Battery'!#REF!</definedName>
    <definedName name="FusibleLink_Time9">'Tractive Battery'!#REF!</definedName>
    <definedName name="IncompleteText">"BLANK"</definedName>
    <definedName name="InsulationNames">Datasheets!$A$96:$A$105</definedName>
    <definedName name="InsulationsTable">Datasheets!$A$96:$H$105</definedName>
    <definedName name="MainFuseA">'Tractive Battery'!$W$20</definedName>
    <definedName name="MaxTSVoltage">'Tractive Battery'!$G$4</definedName>
    <definedName name="NominalTSVoltage">'Tractive Battery'!$G$5</definedName>
    <definedName name="NumAccum">'Tractive Battery'!$G$3</definedName>
    <definedName name="OKText">"OK"</definedName>
    <definedName name="PrechargeRes">PrechargeDischarge!$D$6</definedName>
    <definedName name="ResistorsNames">Datasheets!$A$57:$A$62</definedName>
    <definedName name="ResistorsTable">Datasheets!$A$57:$J$62</definedName>
    <definedName name="TotalCells">'Tractive Battery'!$G$6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S25" i="3"/>
  <c r="S26" i="3"/>
  <c r="S27" i="3"/>
  <c r="S29" i="3"/>
  <c r="S30" i="3"/>
  <c r="S31" i="3"/>
  <c r="K46" i="9" l="1"/>
  <c r="K55" i="9"/>
  <c r="F4" i="6"/>
  <c r="F2" i="6" s="1"/>
  <c r="Y26" i="3"/>
  <c r="K53" i="2"/>
  <c r="K51" i="2"/>
  <c r="K49" i="2"/>
  <c r="K42" i="2"/>
  <c r="E32" i="6" l="1"/>
  <c r="F32" i="6" s="1"/>
  <c r="G32" i="6" s="1"/>
  <c r="E33" i="6"/>
  <c r="F33" i="6" s="1"/>
  <c r="G33" i="6" s="1"/>
  <c r="E34" i="6"/>
  <c r="F34" i="6" s="1"/>
  <c r="G34" i="6" s="1"/>
  <c r="E35" i="6"/>
  <c r="F35" i="6" s="1"/>
  <c r="G35" i="6" s="1"/>
  <c r="E36" i="6"/>
  <c r="E37" i="6"/>
  <c r="F37" i="6" s="1"/>
  <c r="G37" i="6" s="1"/>
  <c r="E38" i="6"/>
  <c r="F38" i="6" s="1"/>
  <c r="G38" i="6" s="1"/>
  <c r="E39" i="6"/>
  <c r="F39" i="6" s="1"/>
  <c r="G39" i="6" s="1"/>
  <c r="E40" i="6"/>
  <c r="F40" i="6" s="1"/>
  <c r="G40" i="6" s="1"/>
  <c r="E41" i="6"/>
  <c r="F41" i="6" s="1"/>
  <c r="G41" i="6" s="1"/>
  <c r="E42" i="6"/>
  <c r="F42" i="6" s="1"/>
  <c r="G42" i="6" s="1"/>
  <c r="E43" i="6"/>
  <c r="F43" i="6" s="1"/>
  <c r="G43" i="6" s="1"/>
  <c r="E44" i="6"/>
  <c r="F44" i="6" s="1"/>
  <c r="G44" i="6" s="1"/>
  <c r="E45" i="6"/>
  <c r="F45" i="6" s="1"/>
  <c r="G45" i="6" s="1"/>
  <c r="E46" i="6"/>
  <c r="F46" i="6" s="1"/>
  <c r="G46" i="6" s="1"/>
  <c r="E47" i="6"/>
  <c r="F47" i="6" s="1"/>
  <c r="G47" i="6" s="1"/>
  <c r="E48" i="6"/>
  <c r="E49" i="6"/>
  <c r="F49" i="6" s="1"/>
  <c r="G49" i="6" s="1"/>
  <c r="E50" i="6"/>
  <c r="F50" i="6" s="1"/>
  <c r="G50" i="6" s="1"/>
  <c r="E51" i="6"/>
  <c r="F51" i="6" s="1"/>
  <c r="G51" i="6" s="1"/>
  <c r="E52" i="6"/>
  <c r="F52" i="6" s="1"/>
  <c r="G52" i="6" s="1"/>
  <c r="E53" i="6"/>
  <c r="F53" i="6" s="1"/>
  <c r="G53" i="6" s="1"/>
  <c r="E54" i="6"/>
  <c r="F54" i="6" s="1"/>
  <c r="G54" i="6" s="1"/>
  <c r="E55" i="6"/>
  <c r="F55" i="6" s="1"/>
  <c r="G55" i="6" s="1"/>
  <c r="E56" i="6"/>
  <c r="F56" i="6" s="1"/>
  <c r="G56" i="6" s="1"/>
  <c r="E57" i="6"/>
  <c r="F57" i="6" s="1"/>
  <c r="G57" i="6" s="1"/>
  <c r="E58" i="6"/>
  <c r="F58" i="6" s="1"/>
  <c r="G58" i="6" s="1"/>
  <c r="E59" i="6"/>
  <c r="F59" i="6" s="1"/>
  <c r="G59" i="6" s="1"/>
  <c r="E60" i="6"/>
  <c r="F60" i="6" s="1"/>
  <c r="G60" i="6" s="1"/>
  <c r="E61" i="6"/>
  <c r="F61" i="6" s="1"/>
  <c r="G61" i="6" s="1"/>
  <c r="E62" i="6"/>
  <c r="F62" i="6" s="1"/>
  <c r="G62" i="6" s="1"/>
  <c r="E63" i="6"/>
  <c r="F63" i="6" s="1"/>
  <c r="G63" i="6" s="1"/>
  <c r="E64" i="6"/>
  <c r="F64" i="6" s="1"/>
  <c r="G64" i="6" s="1"/>
  <c r="E65" i="6"/>
  <c r="F65" i="6" s="1"/>
  <c r="G65" i="6" s="1"/>
  <c r="E66" i="6"/>
  <c r="F66" i="6" s="1"/>
  <c r="G66" i="6" s="1"/>
  <c r="E67" i="6"/>
  <c r="F67" i="6" s="1"/>
  <c r="G67" i="6" s="1"/>
  <c r="E68" i="6"/>
  <c r="F68" i="6" s="1"/>
  <c r="G68" i="6" s="1"/>
  <c r="E69" i="6"/>
  <c r="F69" i="6" s="1"/>
  <c r="G69" i="6" s="1"/>
  <c r="E70" i="6"/>
  <c r="F70" i="6" s="1"/>
  <c r="G70" i="6" s="1"/>
  <c r="E71" i="6"/>
  <c r="F71" i="6" s="1"/>
  <c r="G71" i="6" s="1"/>
  <c r="E72" i="6"/>
  <c r="F72" i="6" s="1"/>
  <c r="G72" i="6" s="1"/>
  <c r="E73" i="6"/>
  <c r="F73" i="6" s="1"/>
  <c r="G73" i="6" s="1"/>
  <c r="E74" i="6"/>
  <c r="F74" i="6" s="1"/>
  <c r="G74" i="6" s="1"/>
  <c r="E75" i="6"/>
  <c r="F75" i="6" s="1"/>
  <c r="G75" i="6" s="1"/>
  <c r="E76" i="6"/>
  <c r="F76" i="6" s="1"/>
  <c r="G76" i="6" s="1"/>
  <c r="E77" i="6"/>
  <c r="F77" i="6" s="1"/>
  <c r="G77" i="6" s="1"/>
  <c r="E78" i="6"/>
  <c r="F78" i="6" s="1"/>
  <c r="G78" i="6" s="1"/>
  <c r="E79" i="6"/>
  <c r="F79" i="6" s="1"/>
  <c r="G79" i="6" s="1"/>
  <c r="E80" i="6"/>
  <c r="F80" i="6" s="1"/>
  <c r="G80" i="6" s="1"/>
  <c r="E81" i="6"/>
  <c r="F81" i="6" s="1"/>
  <c r="G81" i="6" s="1"/>
  <c r="E82" i="6"/>
  <c r="F82" i="6" s="1"/>
  <c r="G82" i="6" s="1"/>
  <c r="E83" i="6"/>
  <c r="F83" i="6" s="1"/>
  <c r="G83" i="6" s="1"/>
  <c r="E84" i="6"/>
  <c r="F84" i="6" s="1"/>
  <c r="G84" i="6" s="1"/>
  <c r="E85" i="6"/>
  <c r="F85" i="6" s="1"/>
  <c r="G85" i="6" s="1"/>
  <c r="E86" i="6"/>
  <c r="F86" i="6" s="1"/>
  <c r="G86" i="6" s="1"/>
  <c r="E87" i="6"/>
  <c r="F87" i="6" s="1"/>
  <c r="G87" i="6" s="1"/>
  <c r="E88" i="6"/>
  <c r="F88" i="6" s="1"/>
  <c r="G88" i="6" s="1"/>
  <c r="E89" i="6"/>
  <c r="F89" i="6" s="1"/>
  <c r="G89" i="6" s="1"/>
  <c r="E90" i="6"/>
  <c r="F90" i="6" s="1"/>
  <c r="G90" i="6" s="1"/>
  <c r="E91" i="6"/>
  <c r="F91" i="6" s="1"/>
  <c r="G91" i="6" s="1"/>
  <c r="E92" i="6"/>
  <c r="F92" i="6" s="1"/>
  <c r="G92" i="6" s="1"/>
  <c r="E93" i="6"/>
  <c r="F93" i="6" s="1"/>
  <c r="G93" i="6" s="1"/>
  <c r="E94" i="6"/>
  <c r="F94" i="6" s="1"/>
  <c r="G94" i="6" s="1"/>
  <c r="E95" i="6"/>
  <c r="F95" i="6" s="1"/>
  <c r="G95" i="6" s="1"/>
  <c r="E96" i="6"/>
  <c r="F96" i="6" s="1"/>
  <c r="G96" i="6" s="1"/>
  <c r="E97" i="6"/>
  <c r="F97" i="6" s="1"/>
  <c r="G97" i="6" s="1"/>
  <c r="E98" i="6"/>
  <c r="F98" i="6" s="1"/>
  <c r="G98" i="6" s="1"/>
  <c r="E99" i="6"/>
  <c r="F99" i="6" s="1"/>
  <c r="G99" i="6" s="1"/>
  <c r="E100" i="6"/>
  <c r="F100" i="6" s="1"/>
  <c r="G100" i="6" s="1"/>
  <c r="E101" i="6"/>
  <c r="F101" i="6" s="1"/>
  <c r="G101" i="6" s="1"/>
  <c r="E102" i="6"/>
  <c r="F102" i="6" s="1"/>
  <c r="G102" i="6" s="1"/>
  <c r="E103" i="6"/>
  <c r="F103" i="6" s="1"/>
  <c r="G103" i="6" s="1"/>
  <c r="E104" i="6"/>
  <c r="F104" i="6" s="1"/>
  <c r="G104" i="6" s="1"/>
  <c r="E105" i="6"/>
  <c r="F105" i="6" s="1"/>
  <c r="G105" i="6" s="1"/>
  <c r="E106" i="6"/>
  <c r="F106" i="6" s="1"/>
  <c r="G106" i="6" s="1"/>
  <c r="E107" i="6"/>
  <c r="F107" i="6" s="1"/>
  <c r="G107" i="6" s="1"/>
  <c r="E108" i="6"/>
  <c r="F108" i="6" s="1"/>
  <c r="G108" i="6" s="1"/>
  <c r="E109" i="6"/>
  <c r="F109" i="6" s="1"/>
  <c r="G109" i="6" s="1"/>
  <c r="E110" i="6"/>
  <c r="F110" i="6" s="1"/>
  <c r="G110" i="6" s="1"/>
  <c r="E111" i="6"/>
  <c r="F111" i="6" s="1"/>
  <c r="G111" i="6" s="1"/>
  <c r="E112" i="6"/>
  <c r="F112" i="6" s="1"/>
  <c r="G112" i="6" s="1"/>
  <c r="E113" i="6"/>
  <c r="F113" i="6" s="1"/>
  <c r="G113" i="6" s="1"/>
  <c r="E114" i="6"/>
  <c r="F114" i="6" s="1"/>
  <c r="G114" i="6" s="1"/>
  <c r="E115" i="6"/>
  <c r="F115" i="6" s="1"/>
  <c r="G115" i="6" s="1"/>
  <c r="E116" i="6"/>
  <c r="F116" i="6" s="1"/>
  <c r="G116" i="6" s="1"/>
  <c r="E117" i="6"/>
  <c r="F117" i="6" s="1"/>
  <c r="G117" i="6" s="1"/>
  <c r="E118" i="6"/>
  <c r="F118" i="6" s="1"/>
  <c r="G118" i="6" s="1"/>
  <c r="E119" i="6"/>
  <c r="F119" i="6" s="1"/>
  <c r="G119" i="6" s="1"/>
  <c r="E120" i="6"/>
  <c r="F120" i="6" s="1"/>
  <c r="G120" i="6" s="1"/>
  <c r="E121" i="6"/>
  <c r="F121" i="6" s="1"/>
  <c r="G121" i="6" s="1"/>
  <c r="E122" i="6"/>
  <c r="F122" i="6" s="1"/>
  <c r="G122" i="6" s="1"/>
  <c r="E123" i="6"/>
  <c r="F123" i="6" s="1"/>
  <c r="G123" i="6" s="1"/>
  <c r="E124" i="6"/>
  <c r="F124" i="6" s="1"/>
  <c r="G124" i="6" s="1"/>
  <c r="E125" i="6"/>
  <c r="F125" i="6" s="1"/>
  <c r="G125" i="6" s="1"/>
  <c r="E126" i="6"/>
  <c r="F126" i="6" s="1"/>
  <c r="G126" i="6" s="1"/>
  <c r="E127" i="6"/>
  <c r="F127" i="6" s="1"/>
  <c r="G127" i="6" s="1"/>
  <c r="E128" i="6"/>
  <c r="F128" i="6" s="1"/>
  <c r="G128" i="6" s="1"/>
  <c r="E129" i="6"/>
  <c r="F129" i="6" s="1"/>
  <c r="G129" i="6" s="1"/>
  <c r="E130" i="6"/>
  <c r="F130" i="6" s="1"/>
  <c r="G130" i="6" s="1"/>
  <c r="E131" i="6"/>
  <c r="F131" i="6" s="1"/>
  <c r="G131" i="6" s="1"/>
  <c r="E31" i="6"/>
  <c r="F31" i="6" s="1"/>
  <c r="G31" i="6" s="1"/>
  <c r="F36" i="6"/>
  <c r="G36" i="6" s="1"/>
  <c r="F48" i="6"/>
  <c r="G48" i="6" s="1"/>
  <c r="B32" i="6"/>
  <c r="C32" i="6" s="1"/>
  <c r="D32" i="6" s="1"/>
  <c r="B33" i="6"/>
  <c r="C33" i="6" s="1"/>
  <c r="D33" i="6" s="1"/>
  <c r="B34" i="6"/>
  <c r="C34" i="6" s="1"/>
  <c r="D34" i="6" s="1"/>
  <c r="B35" i="6"/>
  <c r="C35" i="6" s="1"/>
  <c r="D35" i="6" s="1"/>
  <c r="B36" i="6"/>
  <c r="C36" i="6" s="1"/>
  <c r="D36" i="6" s="1"/>
  <c r="B37" i="6"/>
  <c r="C37" i="6" s="1"/>
  <c r="D37" i="6" s="1"/>
  <c r="B38" i="6"/>
  <c r="C38" i="6" s="1"/>
  <c r="D38" i="6" s="1"/>
  <c r="B39" i="6"/>
  <c r="C39" i="6" s="1"/>
  <c r="D39" i="6" s="1"/>
  <c r="B40" i="6"/>
  <c r="C40" i="6" s="1"/>
  <c r="D40" i="6" s="1"/>
  <c r="B41" i="6"/>
  <c r="C41" i="6" s="1"/>
  <c r="D41" i="6" s="1"/>
  <c r="B42" i="6"/>
  <c r="C42" i="6" s="1"/>
  <c r="D42" i="6" s="1"/>
  <c r="B43" i="6"/>
  <c r="C43" i="6" s="1"/>
  <c r="D43" i="6" s="1"/>
  <c r="B44" i="6"/>
  <c r="C44" i="6" s="1"/>
  <c r="D44" i="6" s="1"/>
  <c r="B45" i="6"/>
  <c r="C45" i="6" s="1"/>
  <c r="D45" i="6" s="1"/>
  <c r="B46" i="6"/>
  <c r="C46" i="6" s="1"/>
  <c r="D46" i="6" s="1"/>
  <c r="B47" i="6"/>
  <c r="C47" i="6" s="1"/>
  <c r="D47" i="6" s="1"/>
  <c r="B48" i="6"/>
  <c r="C48" i="6" s="1"/>
  <c r="D48" i="6" s="1"/>
  <c r="B49" i="6"/>
  <c r="C49" i="6" s="1"/>
  <c r="D49" i="6" s="1"/>
  <c r="B50" i="6"/>
  <c r="C50" i="6" s="1"/>
  <c r="D50" i="6" s="1"/>
  <c r="B51" i="6"/>
  <c r="C51" i="6" s="1"/>
  <c r="D51" i="6" s="1"/>
  <c r="B52" i="6"/>
  <c r="C52" i="6" s="1"/>
  <c r="D52" i="6" s="1"/>
  <c r="B53" i="6"/>
  <c r="C53" i="6" s="1"/>
  <c r="D53" i="6" s="1"/>
  <c r="B54" i="6"/>
  <c r="C54" i="6" s="1"/>
  <c r="D54" i="6" s="1"/>
  <c r="B55" i="6"/>
  <c r="C55" i="6" s="1"/>
  <c r="D55" i="6" s="1"/>
  <c r="B56" i="6"/>
  <c r="C56" i="6" s="1"/>
  <c r="D56" i="6" s="1"/>
  <c r="B57" i="6"/>
  <c r="C57" i="6" s="1"/>
  <c r="D57" i="6" s="1"/>
  <c r="B58" i="6"/>
  <c r="C58" i="6" s="1"/>
  <c r="D58" i="6" s="1"/>
  <c r="B59" i="6"/>
  <c r="C59" i="6" s="1"/>
  <c r="D59" i="6" s="1"/>
  <c r="B60" i="6"/>
  <c r="C60" i="6" s="1"/>
  <c r="D60" i="6" s="1"/>
  <c r="B61" i="6"/>
  <c r="C61" i="6" s="1"/>
  <c r="D61" i="6" s="1"/>
  <c r="B62" i="6"/>
  <c r="C62" i="6" s="1"/>
  <c r="D62" i="6" s="1"/>
  <c r="B63" i="6"/>
  <c r="C63" i="6" s="1"/>
  <c r="D63" i="6" s="1"/>
  <c r="B64" i="6"/>
  <c r="C64" i="6" s="1"/>
  <c r="D64" i="6" s="1"/>
  <c r="B65" i="6"/>
  <c r="C65" i="6" s="1"/>
  <c r="D65" i="6" s="1"/>
  <c r="B66" i="6"/>
  <c r="C66" i="6" s="1"/>
  <c r="D66" i="6" s="1"/>
  <c r="B67" i="6"/>
  <c r="C67" i="6" s="1"/>
  <c r="D67" i="6" s="1"/>
  <c r="B68" i="6"/>
  <c r="C68" i="6" s="1"/>
  <c r="D68" i="6" s="1"/>
  <c r="B69" i="6"/>
  <c r="C69" i="6" s="1"/>
  <c r="D69" i="6" s="1"/>
  <c r="B70" i="6"/>
  <c r="C70" i="6" s="1"/>
  <c r="D70" i="6" s="1"/>
  <c r="B71" i="6"/>
  <c r="C71" i="6" s="1"/>
  <c r="D71" i="6" s="1"/>
  <c r="B72" i="6"/>
  <c r="C72" i="6" s="1"/>
  <c r="D72" i="6" s="1"/>
  <c r="B73" i="6"/>
  <c r="C73" i="6" s="1"/>
  <c r="D73" i="6" s="1"/>
  <c r="B74" i="6"/>
  <c r="C74" i="6" s="1"/>
  <c r="D74" i="6" s="1"/>
  <c r="B75" i="6"/>
  <c r="C75" i="6" s="1"/>
  <c r="D75" i="6" s="1"/>
  <c r="B76" i="6"/>
  <c r="C76" i="6" s="1"/>
  <c r="D76" i="6" s="1"/>
  <c r="B77" i="6"/>
  <c r="C77" i="6" s="1"/>
  <c r="D77" i="6" s="1"/>
  <c r="B78" i="6"/>
  <c r="C78" i="6" s="1"/>
  <c r="D78" i="6" s="1"/>
  <c r="B79" i="6"/>
  <c r="C79" i="6" s="1"/>
  <c r="D79" i="6" s="1"/>
  <c r="B80" i="6"/>
  <c r="C80" i="6" s="1"/>
  <c r="D80" i="6" s="1"/>
  <c r="B81" i="6"/>
  <c r="C81" i="6" s="1"/>
  <c r="D81" i="6" s="1"/>
  <c r="B82" i="6"/>
  <c r="C82" i="6" s="1"/>
  <c r="D82" i="6" s="1"/>
  <c r="B83" i="6"/>
  <c r="C83" i="6" s="1"/>
  <c r="D83" i="6" s="1"/>
  <c r="B84" i="6"/>
  <c r="C84" i="6" s="1"/>
  <c r="D84" i="6" s="1"/>
  <c r="B85" i="6"/>
  <c r="C85" i="6" s="1"/>
  <c r="D85" i="6" s="1"/>
  <c r="B86" i="6"/>
  <c r="C86" i="6" s="1"/>
  <c r="D86" i="6" s="1"/>
  <c r="B87" i="6"/>
  <c r="C87" i="6" s="1"/>
  <c r="D87" i="6" s="1"/>
  <c r="B88" i="6"/>
  <c r="C88" i="6" s="1"/>
  <c r="D88" i="6" s="1"/>
  <c r="B89" i="6"/>
  <c r="C89" i="6" s="1"/>
  <c r="D89" i="6" s="1"/>
  <c r="B90" i="6"/>
  <c r="C90" i="6" s="1"/>
  <c r="D90" i="6" s="1"/>
  <c r="B91" i="6"/>
  <c r="C91" i="6" s="1"/>
  <c r="D91" i="6" s="1"/>
  <c r="B92" i="6"/>
  <c r="C92" i="6" s="1"/>
  <c r="D92" i="6" s="1"/>
  <c r="B93" i="6"/>
  <c r="C93" i="6" s="1"/>
  <c r="D93" i="6" s="1"/>
  <c r="B94" i="6"/>
  <c r="C94" i="6" s="1"/>
  <c r="D94" i="6" s="1"/>
  <c r="B95" i="6"/>
  <c r="C95" i="6" s="1"/>
  <c r="D95" i="6" s="1"/>
  <c r="B96" i="6"/>
  <c r="C96" i="6" s="1"/>
  <c r="D96" i="6" s="1"/>
  <c r="B97" i="6"/>
  <c r="C97" i="6" s="1"/>
  <c r="D97" i="6" s="1"/>
  <c r="B98" i="6"/>
  <c r="C98" i="6" s="1"/>
  <c r="D98" i="6" s="1"/>
  <c r="B99" i="6"/>
  <c r="C99" i="6" s="1"/>
  <c r="D99" i="6" s="1"/>
  <c r="B100" i="6"/>
  <c r="C100" i="6" s="1"/>
  <c r="D100" i="6" s="1"/>
  <c r="B101" i="6"/>
  <c r="C101" i="6" s="1"/>
  <c r="D101" i="6" s="1"/>
  <c r="B102" i="6"/>
  <c r="C102" i="6" s="1"/>
  <c r="D102" i="6" s="1"/>
  <c r="B103" i="6"/>
  <c r="C103" i="6" s="1"/>
  <c r="D103" i="6" s="1"/>
  <c r="B104" i="6"/>
  <c r="C104" i="6" s="1"/>
  <c r="D104" i="6" s="1"/>
  <c r="B105" i="6"/>
  <c r="C105" i="6" s="1"/>
  <c r="D105" i="6" s="1"/>
  <c r="B106" i="6"/>
  <c r="C106" i="6" s="1"/>
  <c r="D106" i="6" s="1"/>
  <c r="B107" i="6"/>
  <c r="C107" i="6" s="1"/>
  <c r="D107" i="6" s="1"/>
  <c r="B108" i="6"/>
  <c r="C108" i="6" s="1"/>
  <c r="D108" i="6" s="1"/>
  <c r="B109" i="6"/>
  <c r="C109" i="6" s="1"/>
  <c r="D109" i="6" s="1"/>
  <c r="B110" i="6"/>
  <c r="C110" i="6" s="1"/>
  <c r="D110" i="6" s="1"/>
  <c r="B111" i="6"/>
  <c r="C111" i="6" s="1"/>
  <c r="D111" i="6" s="1"/>
  <c r="B112" i="6"/>
  <c r="C112" i="6" s="1"/>
  <c r="D112" i="6" s="1"/>
  <c r="B113" i="6"/>
  <c r="C113" i="6" s="1"/>
  <c r="D113" i="6" s="1"/>
  <c r="B114" i="6"/>
  <c r="C114" i="6" s="1"/>
  <c r="D114" i="6" s="1"/>
  <c r="B115" i="6"/>
  <c r="C115" i="6" s="1"/>
  <c r="D115" i="6" s="1"/>
  <c r="B116" i="6"/>
  <c r="C116" i="6" s="1"/>
  <c r="D116" i="6" s="1"/>
  <c r="B117" i="6"/>
  <c r="C117" i="6" s="1"/>
  <c r="D117" i="6" s="1"/>
  <c r="B118" i="6"/>
  <c r="C118" i="6" s="1"/>
  <c r="D118" i="6" s="1"/>
  <c r="B119" i="6"/>
  <c r="C119" i="6" s="1"/>
  <c r="D119" i="6" s="1"/>
  <c r="B120" i="6"/>
  <c r="C120" i="6" s="1"/>
  <c r="D120" i="6" s="1"/>
  <c r="B121" i="6"/>
  <c r="C121" i="6" s="1"/>
  <c r="D121" i="6" s="1"/>
  <c r="B122" i="6"/>
  <c r="C122" i="6" s="1"/>
  <c r="D122" i="6" s="1"/>
  <c r="B123" i="6"/>
  <c r="C123" i="6" s="1"/>
  <c r="D123" i="6" s="1"/>
  <c r="B124" i="6"/>
  <c r="C124" i="6" s="1"/>
  <c r="D124" i="6" s="1"/>
  <c r="B125" i="6"/>
  <c r="C125" i="6" s="1"/>
  <c r="D125" i="6" s="1"/>
  <c r="B126" i="6"/>
  <c r="C126" i="6" s="1"/>
  <c r="D126" i="6" s="1"/>
  <c r="B127" i="6"/>
  <c r="C127" i="6" s="1"/>
  <c r="D127" i="6" s="1"/>
  <c r="B128" i="6"/>
  <c r="C128" i="6" s="1"/>
  <c r="D128" i="6" s="1"/>
  <c r="B129" i="6"/>
  <c r="C129" i="6" s="1"/>
  <c r="D129" i="6" s="1"/>
  <c r="B130" i="6"/>
  <c r="C130" i="6" s="1"/>
  <c r="D130" i="6" s="1"/>
  <c r="B131" i="6"/>
  <c r="C131" i="6" s="1"/>
  <c r="D131" i="6" s="1"/>
  <c r="B31" i="6"/>
  <c r="C31" i="6" s="1"/>
  <c r="D31" i="6" s="1"/>
  <c r="W42" i="2"/>
  <c r="W41" i="2"/>
  <c r="K63" i="2"/>
  <c r="M68" i="1" l="1"/>
  <c r="M69" i="1"/>
  <c r="M70" i="1"/>
  <c r="M67" i="1"/>
  <c r="M66" i="1"/>
  <c r="A66" i="1"/>
  <c r="G5" i="3" l="1"/>
  <c r="G4" i="3"/>
  <c r="Q29" i="7" l="1"/>
  <c r="Q28" i="7" s="1"/>
  <c r="W84" i="2" l="1"/>
  <c r="L16" i="3" l="1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S56" i="3"/>
  <c r="S55" i="3"/>
  <c r="R14" i="4" l="1"/>
  <c r="R13" i="4"/>
  <c r="R12" i="4"/>
  <c r="W83" i="2"/>
  <c r="W82" i="2"/>
  <c r="R11" i="4"/>
  <c r="W80" i="2"/>
  <c r="W81" i="2" l="1"/>
  <c r="W79" i="2"/>
  <c r="S17" i="3"/>
  <c r="J74" i="3"/>
  <c r="J73" i="3"/>
  <c r="D80" i="3"/>
  <c r="E80" i="3"/>
  <c r="D81" i="3"/>
  <c r="E81" i="3"/>
  <c r="D82" i="3"/>
  <c r="E82" i="3"/>
  <c r="D83" i="3"/>
  <c r="E83" i="3"/>
  <c r="D84" i="3"/>
  <c r="E84" i="3"/>
  <c r="D85" i="3"/>
  <c r="E85" i="3"/>
  <c r="D86" i="3"/>
  <c r="E86" i="3"/>
  <c r="D87" i="3"/>
  <c r="E87" i="3"/>
  <c r="D88" i="3"/>
  <c r="E88" i="3"/>
  <c r="D89" i="3"/>
  <c r="E89" i="3"/>
  <c r="D90" i="3"/>
  <c r="E90" i="3"/>
  <c r="D91" i="3"/>
  <c r="E91" i="3"/>
  <c r="D92" i="3"/>
  <c r="E92" i="3"/>
  <c r="D93" i="3"/>
  <c r="E93" i="3"/>
  <c r="D94" i="3"/>
  <c r="E94" i="3"/>
  <c r="K73" i="3"/>
  <c r="K72" i="3"/>
  <c r="E79" i="3"/>
  <c r="D79" i="3"/>
  <c r="K54" i="9"/>
  <c r="Y23" i="3"/>
  <c r="J56" i="3" l="1"/>
  <c r="F96" i="1"/>
  <c r="L96" i="1" s="1"/>
  <c r="H64" i="3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21" i="1"/>
  <c r="K20" i="1"/>
  <c r="J76" i="1" l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75" i="1"/>
  <c r="J74" i="1"/>
  <c r="N59" i="1"/>
  <c r="N60" i="1"/>
  <c r="N61" i="1"/>
  <c r="N62" i="1"/>
  <c r="N58" i="1"/>
  <c r="N57" i="1"/>
  <c r="K44" i="1"/>
  <c r="K45" i="1"/>
  <c r="K46" i="1"/>
  <c r="K47" i="1"/>
  <c r="K48" i="1"/>
  <c r="K49" i="1"/>
  <c r="K50" i="1"/>
  <c r="K51" i="1"/>
  <c r="K52" i="1"/>
  <c r="K53" i="1"/>
  <c r="K43" i="1"/>
  <c r="K42" i="1"/>
  <c r="W78" i="2"/>
  <c r="W77" i="2" s="1"/>
  <c r="R4" i="4" l="1"/>
  <c r="R5" i="4"/>
  <c r="W34" i="9"/>
  <c r="K34" i="9"/>
  <c r="W41" i="9"/>
  <c r="J57" i="3"/>
  <c r="R3" i="4" l="1"/>
  <c r="I4" i="3"/>
  <c r="L9" i="3"/>
  <c r="G6" i="3"/>
  <c r="S12" i="3"/>
  <c r="H12" i="3"/>
  <c r="L15" i="10" l="1"/>
  <c r="J12" i="3"/>
  <c r="L12" i="3" s="1"/>
  <c r="J54" i="3"/>
  <c r="H65" i="3"/>
  <c r="H29" i="3"/>
  <c r="J29" i="3" s="1"/>
  <c r="H28" i="3"/>
  <c r="J28" i="3" s="1"/>
  <c r="H27" i="3"/>
  <c r="J27" i="3" s="1"/>
  <c r="H26" i="3"/>
  <c r="J26" i="3" s="1"/>
  <c r="H25" i="3"/>
  <c r="J25" i="3" s="1"/>
  <c r="H24" i="3"/>
  <c r="J24" i="3" s="1"/>
  <c r="H23" i="3"/>
  <c r="J23" i="3" s="1"/>
  <c r="H22" i="3"/>
  <c r="J22" i="3" s="1"/>
  <c r="H21" i="3"/>
  <c r="J21" i="3" s="1"/>
  <c r="H20" i="3"/>
  <c r="J20" i="3" s="1"/>
  <c r="H19" i="3"/>
  <c r="J19" i="3" s="1"/>
  <c r="H18" i="3"/>
  <c r="J18" i="3" s="1"/>
  <c r="H17" i="3"/>
  <c r="J17" i="3" s="1"/>
  <c r="H16" i="3"/>
  <c r="J16" i="3" s="1"/>
  <c r="H15" i="3"/>
  <c r="J15" i="3" s="1"/>
  <c r="L15" i="3" s="1"/>
  <c r="H14" i="3"/>
  <c r="J14" i="3" s="1"/>
  <c r="L14" i="3" s="1"/>
  <c r="H13" i="3"/>
  <c r="S13" i="3" l="1"/>
  <c r="J13" i="3"/>
  <c r="L13" i="3" s="1"/>
  <c r="Q32" i="3" s="1"/>
  <c r="S32" i="3" s="1"/>
  <c r="Q39" i="5"/>
  <c r="H39" i="5"/>
  <c r="L8" i="3" l="1"/>
  <c r="F72" i="3"/>
  <c r="F73" i="3"/>
  <c r="F74" i="3"/>
  <c r="F75" i="3"/>
  <c r="H75" i="3" s="1"/>
  <c r="F11" i="4"/>
  <c r="S18" i="3" l="1"/>
  <c r="H72" i="3" l="1"/>
  <c r="A58" i="1"/>
  <c r="A98" i="1"/>
  <c r="A94" i="1"/>
  <c r="A76" i="1"/>
  <c r="A91" i="1"/>
  <c r="A45" i="1"/>
  <c r="A67" i="1"/>
  <c r="A23" i="1"/>
  <c r="A50" i="1"/>
  <c r="A103" i="1"/>
  <c r="A34" i="1"/>
  <c r="A49" i="1"/>
  <c r="A32" i="1"/>
  <c r="A82" i="1"/>
  <c r="A74" i="1"/>
  <c r="A43" i="1"/>
  <c r="A35" i="1"/>
  <c r="A65" i="1"/>
  <c r="A96" i="1"/>
  <c r="A42" i="1"/>
  <c r="A61" i="1"/>
  <c r="A70" i="1"/>
  <c r="A68" i="1"/>
  <c r="A90" i="1"/>
  <c r="A78" i="1"/>
  <c r="A31" i="1"/>
  <c r="A79" i="1"/>
  <c r="A51" i="1"/>
  <c r="A89" i="1"/>
  <c r="A41" i="1"/>
  <c r="A73" i="1"/>
  <c r="A28" i="1"/>
  <c r="A52" i="1"/>
  <c r="A55" i="1"/>
  <c r="A75" i="1"/>
  <c r="A44" i="1"/>
  <c r="A37" i="1"/>
  <c r="A88" i="1"/>
  <c r="A48" i="1"/>
  <c r="A104" i="1"/>
  <c r="A97" i="1"/>
  <c r="A101" i="1"/>
  <c r="A83" i="1"/>
  <c r="A100" i="1"/>
  <c r="A102" i="1"/>
  <c r="A24" i="1"/>
  <c r="A93" i="1"/>
  <c r="A22" i="1"/>
  <c r="A99" i="1"/>
  <c r="A105" i="1"/>
  <c r="A29" i="1"/>
  <c r="A26" i="1"/>
  <c r="A30" i="1"/>
  <c r="A95" i="1"/>
  <c r="A60" i="1"/>
  <c r="A27" i="1"/>
  <c r="A72" i="1"/>
  <c r="A86" i="1"/>
  <c r="A69" i="1"/>
  <c r="A39" i="1"/>
  <c r="A87" i="1"/>
  <c r="A38" i="1"/>
  <c r="A63" i="1"/>
  <c r="A53" i="1"/>
  <c r="A84" i="1"/>
  <c r="A21" i="1"/>
  <c r="A57" i="1"/>
  <c r="A40" i="1"/>
  <c r="A47" i="1"/>
  <c r="A20" i="1"/>
  <c r="A62" i="1"/>
  <c r="A81" i="1"/>
  <c r="A92" i="1"/>
  <c r="A33" i="1"/>
  <c r="A56" i="1"/>
  <c r="A64" i="1"/>
  <c r="A46" i="1"/>
  <c r="A59" i="1"/>
  <c r="A77" i="1"/>
  <c r="A25" i="1"/>
  <c r="A54" i="1"/>
  <c r="A71" i="1"/>
  <c r="A80" i="1"/>
  <c r="A36" i="1"/>
  <c r="A85" i="1"/>
  <c r="Q23" i="3" l="1"/>
  <c r="W28" i="3"/>
  <c r="W27" i="3"/>
  <c r="Y27" i="3" s="1"/>
  <c r="D22" i="4"/>
  <c r="D23" i="4"/>
  <c r="Q22" i="3"/>
  <c r="J17" i="4"/>
  <c r="L17" i="4" s="1"/>
  <c r="J16" i="4"/>
  <c r="F66" i="3"/>
  <c r="H69" i="3" s="1"/>
  <c r="J15" i="4"/>
  <c r="P17" i="4"/>
  <c r="R17" i="4" s="1"/>
  <c r="P16" i="4"/>
  <c r="P15" i="4"/>
  <c r="R15" i="4" s="1"/>
  <c r="W24" i="3"/>
  <c r="Y24" i="3" s="1"/>
  <c r="AD20" i="3"/>
  <c r="AF20" i="3" s="1"/>
  <c r="AD16" i="3"/>
  <c r="AF16" i="3" s="1"/>
  <c r="AD12" i="3"/>
  <c r="AF12" i="3" s="1"/>
  <c r="P6" i="4"/>
  <c r="R6" i="4" s="1"/>
  <c r="W21" i="3"/>
  <c r="Y21" i="3" s="1"/>
  <c r="P8" i="4"/>
  <c r="R8" i="4" s="1"/>
  <c r="P7" i="4"/>
  <c r="AD19" i="3"/>
  <c r="AD18" i="3"/>
  <c r="AD15" i="3"/>
  <c r="AD11" i="3"/>
  <c r="Q21" i="3"/>
  <c r="S21" i="3" s="1"/>
  <c r="S8" i="3" s="1"/>
  <c r="J7" i="4"/>
  <c r="J6" i="4"/>
  <c r="W20" i="3"/>
  <c r="Y28" i="3" l="1"/>
  <c r="H68" i="3"/>
  <c r="L16" i="10"/>
  <c r="R16" i="4"/>
  <c r="R10" i="4" s="1"/>
  <c r="R7" i="4"/>
  <c r="R2" i="4" s="1"/>
  <c r="F14" i="4"/>
  <c r="S20" i="3" l="1"/>
  <c r="S19" i="3"/>
  <c r="S15" i="3"/>
  <c r="S14" i="3"/>
  <c r="S11" i="3"/>
  <c r="S10" i="3"/>
  <c r="W39" i="2" l="1"/>
  <c r="F6" i="7"/>
  <c r="S6" i="6"/>
  <c r="M6" i="2"/>
  <c r="F13" i="4"/>
  <c r="L5" i="7" l="1"/>
  <c r="L4" i="7"/>
  <c r="L3" i="7"/>
  <c r="F5" i="7"/>
  <c r="F4" i="7"/>
  <c r="F3" i="7"/>
  <c r="H29" i="7"/>
  <c r="H28" i="7" s="1"/>
  <c r="L2" i="7" l="1"/>
  <c r="F2" i="7"/>
  <c r="B1" i="7" s="1"/>
  <c r="L9" i="10" l="1"/>
  <c r="K43" i="9"/>
  <c r="W38" i="9"/>
  <c r="W39" i="9"/>
  <c r="W40" i="9"/>
  <c r="W35" i="9"/>
  <c r="W36" i="9"/>
  <c r="W37" i="9"/>
  <c r="K62" i="2"/>
  <c r="K60" i="2"/>
  <c r="K61" i="2"/>
  <c r="K35" i="9" l="1"/>
  <c r="K36" i="9"/>
  <c r="K37" i="9"/>
  <c r="K38" i="9"/>
  <c r="K39" i="9"/>
  <c r="K40" i="9"/>
  <c r="K41" i="9"/>
  <c r="K42" i="9"/>
  <c r="K48" i="9"/>
  <c r="K49" i="9"/>
  <c r="K50" i="9"/>
  <c r="K51" i="9"/>
  <c r="K52" i="9"/>
  <c r="K53" i="9"/>
  <c r="W33" i="9"/>
  <c r="W32" i="9"/>
  <c r="W31" i="9"/>
  <c r="W30" i="9"/>
  <c r="W28" i="9" s="1"/>
  <c r="K33" i="9"/>
  <c r="K32" i="9"/>
  <c r="K31" i="9"/>
  <c r="K30" i="9"/>
  <c r="BC54" i="3"/>
  <c r="BC53" i="3" s="1"/>
  <c r="AT54" i="3"/>
  <c r="AT53" i="3" s="1"/>
  <c r="AK54" i="3"/>
  <c r="AK53" i="3" s="1"/>
  <c r="K28" i="9" l="1"/>
  <c r="S8" i="6"/>
  <c r="S9" i="6"/>
  <c r="S10" i="6"/>
  <c r="S11" i="6"/>
  <c r="S7" i="6"/>
  <c r="S2" i="6" s="1"/>
  <c r="H7" i="6"/>
  <c r="H8" i="6"/>
  <c r="H9" i="6"/>
  <c r="H10" i="6"/>
  <c r="H11" i="6"/>
  <c r="F9" i="6"/>
  <c r="F10" i="6"/>
  <c r="F11" i="6"/>
  <c r="F8" i="6"/>
  <c r="F7" i="6"/>
  <c r="F6" i="6"/>
  <c r="F5" i="2"/>
  <c r="F4" i="2"/>
  <c r="M8" i="2"/>
  <c r="M7" i="2"/>
  <c r="M5" i="2"/>
  <c r="M4" i="2"/>
  <c r="W40" i="2"/>
  <c r="W38" i="2"/>
  <c r="K39" i="2"/>
  <c r="K40" i="2"/>
  <c r="K41" i="2"/>
  <c r="K43" i="2"/>
  <c r="K44" i="2"/>
  <c r="K45" i="2"/>
  <c r="K46" i="2"/>
  <c r="K47" i="2"/>
  <c r="K48" i="2"/>
  <c r="K50" i="2"/>
  <c r="K52" i="2"/>
  <c r="K54" i="2"/>
  <c r="K55" i="2"/>
  <c r="K56" i="2"/>
  <c r="K57" i="2"/>
  <c r="K58" i="2"/>
  <c r="K59" i="2"/>
  <c r="K38" i="2"/>
  <c r="K36" i="2" s="1"/>
  <c r="Q38" i="5"/>
  <c r="F10" i="5"/>
  <c r="F6" i="5"/>
  <c r="F7" i="5"/>
  <c r="F8" i="5"/>
  <c r="F9" i="5"/>
  <c r="Q37" i="5"/>
  <c r="H38" i="5"/>
  <c r="Q36" i="5"/>
  <c r="H36" i="5"/>
  <c r="H37" i="5"/>
  <c r="Q35" i="5"/>
  <c r="Q34" i="5"/>
  <c r="H35" i="5"/>
  <c r="H34" i="5"/>
  <c r="F4" i="5"/>
  <c r="F5" i="5"/>
  <c r="F11" i="5"/>
  <c r="F3" i="5"/>
  <c r="L13" i="4"/>
  <c r="L5" i="4"/>
  <c r="L4" i="4"/>
  <c r="L3" i="4"/>
  <c r="F20" i="4"/>
  <c r="F10" i="4"/>
  <c r="F5" i="4"/>
  <c r="F4" i="4"/>
  <c r="F3" i="4"/>
  <c r="W36" i="2" l="1"/>
  <c r="H32" i="5"/>
  <c r="Q32" i="5"/>
  <c r="F2" i="5"/>
  <c r="M2" i="2"/>
  <c r="F2" i="2"/>
  <c r="AB55" i="3"/>
  <c r="AB54" i="3"/>
  <c r="AB53" i="3" s="1"/>
  <c r="S54" i="3"/>
  <c r="J55" i="3"/>
  <c r="J53" i="3" s="1"/>
  <c r="S53" i="3"/>
  <c r="H73" i="3"/>
  <c r="H74" i="3"/>
  <c r="AF17" i="3"/>
  <c r="AF13" i="3"/>
  <c r="AF9" i="3"/>
  <c r="Y9" i="3"/>
  <c r="Y14" i="3"/>
  <c r="Y19" i="3"/>
  <c r="B1" i="2" a="1"/>
  <c r="F97" i="1" l="1"/>
  <c r="L97" i="1" s="1"/>
  <c r="F98" i="1"/>
  <c r="L98" i="1" s="1"/>
  <c r="F99" i="1"/>
  <c r="L99" i="1" s="1"/>
  <c r="F100" i="1"/>
  <c r="L100" i="1" s="1"/>
  <c r="F101" i="1"/>
  <c r="L101" i="1" s="1"/>
  <c r="F102" i="1"/>
  <c r="L102" i="1" s="1"/>
  <c r="F103" i="1"/>
  <c r="L103" i="1" s="1"/>
  <c r="F104" i="1"/>
  <c r="L104" i="1" s="1"/>
  <c r="F105" i="1"/>
  <c r="L105" i="1" s="1"/>
  <c r="J14" i="4" l="1"/>
  <c r="D21" i="4"/>
  <c r="W15" i="3"/>
  <c r="W17" i="3"/>
  <c r="Y17" i="3" s="1"/>
  <c r="W16" i="3"/>
  <c r="J9" i="4"/>
  <c r="J8" i="4"/>
  <c r="D8" i="4"/>
  <c r="D6" i="4"/>
  <c r="D17" i="4" s="1"/>
  <c r="D9" i="4"/>
  <c r="F9" i="4" s="1"/>
  <c r="D7" i="4"/>
  <c r="AD14" i="3"/>
  <c r="AD10" i="3"/>
  <c r="W10" i="3"/>
  <c r="Y10" i="3" s="1"/>
  <c r="L94" i="1"/>
  <c r="K18" i="1"/>
  <c r="J72" i="1"/>
  <c r="M64" i="1"/>
  <c r="K40" i="1"/>
  <c r="N55" i="1"/>
  <c r="C1" i="1" a="1"/>
  <c r="AF15" i="3" l="1"/>
  <c r="AF11" i="3"/>
  <c r="AF19" i="3"/>
  <c r="AF18" i="3"/>
  <c r="AF10" i="3"/>
  <c r="AF14" i="3"/>
  <c r="H63" i="3"/>
  <c r="AF8" i="3" l="1"/>
  <c r="L9" i="4"/>
  <c r="L14" i="4"/>
  <c r="J11" i="4"/>
  <c r="L15" i="4" s="1"/>
  <c r="F21" i="4"/>
  <c r="J10" i="4"/>
  <c r="L16" i="4" s="1"/>
  <c r="L8" i="4"/>
  <c r="J12" i="4"/>
  <c r="D15" i="4"/>
  <c r="F23" i="4" s="1"/>
  <c r="D16" i="4"/>
  <c r="F22" i="4" s="1"/>
  <c r="Y15" i="3"/>
  <c r="Y8" i="3" s="1"/>
  <c r="D18" i="4"/>
  <c r="D19" i="4" s="1"/>
  <c r="B1" i="3" l="1"/>
  <c r="L4" i="10" s="1"/>
  <c r="L12" i="4"/>
  <c r="L2" i="4" s="1"/>
  <c r="F2" i="4"/>
  <c r="B1" i="4" a="1"/>
  <c r="B1" i="6"/>
  <c r="L8" i="10" l="1"/>
  <c r="B1" i="2" l="1"/>
  <c r="L7" i="10" s="1"/>
  <c r="B1" i="4"/>
  <c r="L5" i="10" s="1"/>
  <c r="C1" i="1"/>
  <c r="L2" i="10" s="1"/>
  <c r="B1" i="5" a="1"/>
  <c r="B1" i="9" a="1"/>
  <c r="B1" i="9" l="1"/>
  <c r="L3" i="10" s="1"/>
  <c r="B1" i="5"/>
  <c r="L6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<sst xmlns="http://schemas.openxmlformats.org/spreadsheetml/2006/main" count="821" uniqueCount="412">
  <si>
    <t>Instructions</t>
  </si>
  <si>
    <t>Status</t>
  </si>
  <si>
    <t>Datasheets</t>
  </si>
  <si>
    <t>TS Schematics</t>
  </si>
  <si>
    <t>Precharge/Discharge</t>
  </si>
  <si>
    <t>Charging</t>
  </si>
  <si>
    <t>Shutdown Circuit</t>
  </si>
  <si>
    <t>Torque Security</t>
  </si>
  <si>
    <t>Other</t>
  </si>
  <si>
    <t>Team Name</t>
  </si>
  <si>
    <t>University</t>
  </si>
  <si>
    <t>Competition Year</t>
  </si>
  <si>
    <t>Max TS Voltage</t>
  </si>
  <si>
    <t>V</t>
  </si>
  <si>
    <t>A</t>
  </si>
  <si>
    <t>Additional Comments</t>
  </si>
  <si>
    <t>Template Revision History</t>
  </si>
  <si>
    <t>Version</t>
  </si>
  <si>
    <t>Date</t>
  </si>
  <si>
    <t>Comment</t>
  </si>
  <si>
    <t>2.0</t>
  </si>
  <si>
    <t>Multiple updates and bug fixes.</t>
  </si>
  <si>
    <t>Battery Cell</t>
  </si>
  <si>
    <t>Make</t>
  </si>
  <si>
    <t>Model</t>
  </si>
  <si>
    <t>Nominal Capacity</t>
  </si>
  <si>
    <t>Ahr</t>
  </si>
  <si>
    <t>Maximum Voltage</t>
  </si>
  <si>
    <t>Nominal Voltage</t>
  </si>
  <si>
    <t>Minimum Voltage</t>
  </si>
  <si>
    <t>Max output current</t>
  </si>
  <si>
    <t>Max continuous current</t>
  </si>
  <si>
    <t>Max Cell temp</t>
  </si>
  <si>
    <t>C</t>
  </si>
  <si>
    <t>Cell Chemistry</t>
  </si>
  <si>
    <t>Datasheet</t>
  </si>
  <si>
    <t>SDS</t>
  </si>
  <si>
    <t>Conductors</t>
  </si>
  <si>
    <t>Manufacturer</t>
  </si>
  <si>
    <t>Part Number</t>
  </si>
  <si>
    <r>
      <t>Size 
[mm</t>
    </r>
    <r>
      <rPr>
        <vertAlign val="superscript"/>
        <sz val="10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</si>
  <si>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Voltage [V]</t>
  </si>
  <si>
    <t>Ampacity
[A]</t>
  </si>
  <si>
    <t>Max Temp [C]</t>
  </si>
  <si>
    <t>Location Used</t>
  </si>
  <si>
    <t>Rules References</t>
  </si>
  <si>
    <t>Fuses</t>
  </si>
  <si>
    <t>Voltage 
[V]</t>
  </si>
  <si>
    <t>AC/DC</t>
  </si>
  <si>
    <t>Current 
[A]</t>
  </si>
  <si>
    <t>Interrupt 
[A]</t>
  </si>
  <si>
    <t>Resistors</t>
  </si>
  <si>
    <t>Power 
[W]</t>
  </si>
  <si>
    <t>Power for 15 sec [W]</t>
  </si>
  <si>
    <t>Heatsink [°C/W]
(Enter "None" if no heatsink)</t>
  </si>
  <si>
    <t>Contactors/Relays</t>
  </si>
  <si>
    <t>Voltage
[V]</t>
  </si>
  <si>
    <t>Continuous Current 
[A]</t>
  </si>
  <si>
    <t>Max Interrupt Current
 [A]</t>
  </si>
  <si>
    <t>Connectors</t>
  </si>
  <si>
    <r>
      <t>Wire Size 
[mm</t>
    </r>
    <r>
      <rPr>
        <vertAlign val="superscript"/>
        <sz val="11"/>
        <color theme="1"/>
        <rFont val="Verdana"/>
        <family val="2"/>
        <scheme val="minor"/>
      </rPr>
      <t>2</t>
    </r>
    <r>
      <rPr>
        <sz val="11"/>
        <color theme="1"/>
        <rFont val="Verdana"/>
        <family val="2"/>
        <scheme val="minor"/>
      </rPr>
      <t>]</t>
    </r>
  </si>
  <si>
    <t>Insulating Materials</t>
  </si>
  <si>
    <t>Thickness
[mm]</t>
  </si>
  <si>
    <t>Dielectric strength 
[V/mm]</t>
  </si>
  <si>
    <t>Voltage Rating 
[V]</t>
  </si>
  <si>
    <t>Flammability Rating</t>
  </si>
  <si>
    <t>Tractive System Schematic</t>
  </si>
  <si>
    <t>Vehicle Tractive System Schematic Shows</t>
  </si>
  <si>
    <t>All wire gauges labeled</t>
  </si>
  <si>
    <t>All fuses labeled with ampacity</t>
  </si>
  <si>
    <t>Fuse locations represent physical location</t>
  </si>
  <si>
    <t>Connectors labeled with Make/Model</t>
  </si>
  <si>
    <t>Enclosures shown</t>
  </si>
  <si>
    <t>Standard schematic symbols used</t>
  </si>
  <si>
    <t>All text is readable (zooming is allowed)</t>
  </si>
  <si>
    <t>Maintenance plugs</t>
  </si>
  <si>
    <t>TSMPs</t>
  </si>
  <si>
    <t>Cells (details of all intercell connections may be abstracted)</t>
  </si>
  <si>
    <t>Motor Controller</t>
  </si>
  <si>
    <t>Motor</t>
  </si>
  <si>
    <t>TSMPs not fused</t>
  </si>
  <si>
    <t>Must be shown on at least one schematic</t>
  </si>
  <si>
    <t>IMD</t>
  </si>
  <si>
    <t>Precharge</t>
  </si>
  <si>
    <t>Discharge</t>
  </si>
  <si>
    <t>Discharge is not fused</t>
  </si>
  <si>
    <t>Maximum TS Voltage</t>
  </si>
  <si>
    <t>Nominal TS Voltage</t>
  </si>
  <si>
    <t>Total Cells</t>
  </si>
  <si>
    <t>BMS</t>
  </si>
  <si>
    <t>Maintenance Plugs</t>
  </si>
  <si>
    <t>Cell Connection Order</t>
  </si>
  <si>
    <t>Connector</t>
  </si>
  <si>
    <t>Between cells and accum. container</t>
  </si>
  <si>
    <t>Parallel cells</t>
  </si>
  <si>
    <t>Series cells</t>
  </si>
  <si>
    <t>Temp Sensors</t>
  </si>
  <si>
    <t>Max Voltage [V]</t>
  </si>
  <si>
    <t>BMS Source</t>
  </si>
  <si>
    <t>Ampacity</t>
  </si>
  <si>
    <t>Voltage Rating</t>
  </si>
  <si>
    <t>Temperature Rating</t>
  </si>
  <si>
    <t>Galvanic Isolation TS to GLV</t>
  </si>
  <si>
    <t>On top of cells</t>
  </si>
  <si>
    <t>Galvanic Isolation device</t>
  </si>
  <si>
    <t>Make/Model</t>
  </si>
  <si>
    <t>Gavlanic Isolation device datasheet</t>
  </si>
  <si>
    <t>Contact Voltage Rating</t>
  </si>
  <si>
    <t>Voltage Sense Leads</t>
  </si>
  <si>
    <t>Max switching current</t>
  </si>
  <si>
    <t>Main Fuse</t>
  </si>
  <si>
    <t>Overcurrent Location</t>
  </si>
  <si>
    <t>Overcurrent Other Location</t>
  </si>
  <si>
    <t>Main fuse ampacity</t>
  </si>
  <si>
    <t>Overcurrent Voltage Rating</t>
  </si>
  <si>
    <t>Temperature Sensors</t>
  </si>
  <si>
    <t>Temp Sensor Location</t>
  </si>
  <si>
    <t>Distance to cell terminal</t>
  </si>
  <si>
    <t>mm</t>
  </si>
  <si>
    <t>Cells sensed per sensor</t>
  </si>
  <si>
    <t>Thermal Contact material used</t>
  </si>
  <si>
    <t>Thermal contact material datasheet</t>
  </si>
  <si>
    <t>Thermal contact material conductivity</t>
  </si>
  <si>
    <r>
      <t>W/(m</t>
    </r>
    <r>
      <rPr>
        <sz val="11"/>
        <color theme="1"/>
        <rFont val="Calibri"/>
        <family val="2"/>
      </rPr>
      <t>∙</t>
    </r>
    <r>
      <rPr>
        <sz val="11"/>
        <color theme="1"/>
        <rFont val="Verdana"/>
        <family val="2"/>
      </rPr>
      <t>K)</t>
    </r>
  </si>
  <si>
    <t>Thermal contact material thickness</t>
  </si>
  <si>
    <t>Percent of cells sensed</t>
  </si>
  <si>
    <t>%</t>
  </si>
  <si>
    <t>Picture of Maintenance Plugs</t>
  </si>
  <si>
    <t>Picture of Cell Connections</t>
  </si>
  <si>
    <t>Picture of Temperature Sensor Location</t>
  </si>
  <si>
    <t>Maintenance Plug(s) Picture Shows</t>
  </si>
  <si>
    <t>Cell Connections Picture Shows</t>
  </si>
  <si>
    <t>Temperature Sensor Picture Shows</t>
  </si>
  <si>
    <t>Unique Configuration of plugs</t>
  </si>
  <si>
    <t>Temp sensor in direct contact with terminal or busbar</t>
  </si>
  <si>
    <t>Insulation on top of cells (air not acceptable)</t>
  </si>
  <si>
    <t>Non-conductive on un-necessary surface</t>
  </si>
  <si>
    <t>Positive Locking</t>
  </si>
  <si>
    <t>Parallel Cell Fusing</t>
  </si>
  <si>
    <t>Rules Referenes</t>
  </si>
  <si>
    <t>Source</t>
  </si>
  <si>
    <t>Continuous Current</t>
  </si>
  <si>
    <t>Test Data Summary</t>
  </si>
  <si>
    <t>Tests at current 1</t>
  </si>
  <si>
    <t>Tests at current 2</t>
  </si>
  <si>
    <t>Tests at current 3</t>
  </si>
  <si>
    <t>Tests at current 4</t>
  </si>
  <si>
    <t>See Fusible Link Testing Guideline on FSAEOnline.com</t>
  </si>
  <si>
    <t>Testing</t>
  </si>
  <si>
    <t xml:space="preserve"> Current [A]</t>
  </si>
  <si>
    <t>Time to blow [s]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</si>
  <si>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</si>
  <si>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</si>
  <si>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</si>
  <si>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</si>
  <si>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</si>
  <si>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</si>
  <si>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</si>
  <si>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</si>
  <si>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</si>
  <si>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</si>
  <si>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</si>
  <si>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</si>
  <si>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</si>
  <si>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</si>
  <si>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</si>
  <si>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</si>
  <si>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Resistor</t>
  </si>
  <si>
    <t># parallel</t>
  </si>
  <si>
    <t># series</t>
  </si>
  <si>
    <t>Resistance</t>
  </si>
  <si>
    <t>Ohms</t>
  </si>
  <si>
    <t>Cont power</t>
  </si>
  <si>
    <t>W</t>
  </si>
  <si>
    <t>power @15 sec</t>
  </si>
  <si>
    <t>Voltage</t>
  </si>
  <si>
    <t>Bus Capacitance</t>
  </si>
  <si>
    <t>mF</t>
  </si>
  <si>
    <t>Peak power</t>
  </si>
  <si>
    <t>End of precharge</t>
  </si>
  <si>
    <t>Peak current</t>
  </si>
  <si>
    <t>sec</t>
  </si>
  <si>
    <t>Discharge time (to 60V)</t>
  </si>
  <si>
    <t>s</t>
  </si>
  <si>
    <t>delta V</t>
  </si>
  <si>
    <t>Relay</t>
  </si>
  <si>
    <t>ending ratio</t>
  </si>
  <si>
    <t>Relay voltage rating</t>
  </si>
  <si>
    <t>Relay current rating</t>
  </si>
  <si>
    <t>time to 90%</t>
  </si>
  <si>
    <t>Precharge Res Energy to 90%</t>
  </si>
  <si>
    <t>J</t>
  </si>
  <si>
    <t>Average Power</t>
  </si>
  <si>
    <t>Charger</t>
  </si>
  <si>
    <t>Input Voltage</t>
  </si>
  <si>
    <t>Input Current</t>
  </si>
  <si>
    <t>Output Voltage</t>
  </si>
  <si>
    <t>Output Current</t>
  </si>
  <si>
    <t>Power</t>
  </si>
  <si>
    <t>kW</t>
  </si>
  <si>
    <t>Input to Output isolation</t>
  </si>
  <si>
    <t>Charging Tractive System Schematic</t>
  </si>
  <si>
    <t>Charging Shutdown Circuit</t>
  </si>
  <si>
    <t>Charging Tractive System Schematic Shows</t>
  </si>
  <si>
    <t>Fuse</t>
  </si>
  <si>
    <t>IMD Control and Powerstage</t>
  </si>
  <si>
    <t>Wire Gauge</t>
  </si>
  <si>
    <t>Charge Connector Interlock</t>
  </si>
  <si>
    <t>Charge Control (CAN, Enable, etc.)</t>
  </si>
  <si>
    <t>BSPD</t>
  </si>
  <si>
    <t>Rules Reference</t>
  </si>
  <si>
    <t>Current Sensor Make/Model</t>
  </si>
  <si>
    <t>Setpoint</t>
  </si>
  <si>
    <r>
      <t>k</t>
    </r>
    <r>
      <rPr>
        <sz val="11"/>
        <color theme="1"/>
        <rFont val="Calibri"/>
        <family val="2"/>
      </rPr>
      <t>Ω</t>
    </r>
  </si>
  <si>
    <t>Current Sensor Datasheet</t>
  </si>
  <si>
    <t>Trip Current</t>
  </si>
  <si>
    <t>Sensor Output @ Trip Current</t>
  </si>
  <si>
    <t>Accuracy @ Trip Current</t>
  </si>
  <si>
    <t>Shutdown Circuit Schematic</t>
  </si>
  <si>
    <t>BSPD System Schematic</t>
  </si>
  <si>
    <t>Shutdown Circuit Schematic Shows</t>
  </si>
  <si>
    <t>BSPD System Schematic Shows</t>
  </si>
  <si>
    <t>GLVMS</t>
  </si>
  <si>
    <t>BSPD Current Sensor input open/short circuit protection</t>
  </si>
  <si>
    <t>TSMS</t>
  </si>
  <si>
    <t>2 Side Shutdown Buttons</t>
  </si>
  <si>
    <t>Shutdown circuit powerstage</t>
  </si>
  <si>
    <t>1 Cockpit Shutdown Button</t>
  </si>
  <si>
    <t>Brake Over Travel Switch (BOTS)</t>
  </si>
  <si>
    <t>Inertia Switch</t>
  </si>
  <si>
    <t>EV.8.3</t>
  </si>
  <si>
    <t>GLV Battery</t>
  </si>
  <si>
    <t>GLV Fuse</t>
  </si>
  <si>
    <t>Precharge Contactor coil</t>
  </si>
  <si>
    <t>Discharge Contactor coil</t>
  </si>
  <si>
    <t>GLVMS is first switch</t>
  </si>
  <si>
    <t>Uses proper electrical schematic symbols</t>
  </si>
  <si>
    <t>Labels/text are readable (zooming in is acceptable)</t>
  </si>
  <si>
    <t>Interlocks on TS connectors outside of an enclosure</t>
  </si>
  <si>
    <t>APPS Sensor Transfer function</t>
  </si>
  <si>
    <t>Torque Control Path Security Checks</t>
  </si>
  <si>
    <t>T.4.2.3</t>
  </si>
  <si>
    <t>Position</t>
  </si>
  <si>
    <t>APPS1 Output [V]</t>
  </si>
  <si>
    <t>APPS2 Output [V]</t>
  </si>
  <si>
    <t>Source Device</t>
  </si>
  <si>
    <t>Destination Device</t>
  </si>
  <si>
    <t>Communication</t>
  </si>
  <si>
    <t>Redundant</t>
  </si>
  <si>
    <t>Out Of Range</t>
  </si>
  <si>
    <t>Correlation</t>
  </si>
  <si>
    <t>Checksum</t>
  </si>
  <si>
    <t>Timeout</t>
  </si>
  <si>
    <t>APPS</t>
  </si>
  <si>
    <t>Galvanic Isolation between TS and control</t>
  </si>
  <si>
    <t>All wires &gt; 150mm have a fuse within the first 150mm from the source</t>
  </si>
  <si>
    <t>Sense Lead Overcurrent Protection Device</t>
  </si>
  <si>
    <t>Main fuse voltage</t>
  </si>
  <si>
    <t>Normal State</t>
  </si>
  <si>
    <t>Updated for 2023 season.</t>
  </si>
  <si>
    <t>Updated for 2022 season.</t>
  </si>
  <si>
    <r>
      <rPr>
        <sz val="10"/>
        <color theme="1"/>
        <rFont val="Verdana"/>
        <family val="2"/>
        <scheme val="minor"/>
      </rPr>
      <t>Resistance</t>
    </r>
    <r>
      <rPr>
        <sz val="11"/>
        <color theme="1"/>
        <rFont val="Verdana"/>
        <family val="2"/>
        <scheme val="minor"/>
      </rPr>
      <t xml:space="preserve"> 
[</t>
    </r>
    <r>
      <rPr>
        <sz val="11"/>
        <color theme="1"/>
        <rFont val="Calibri"/>
        <family val="2"/>
      </rPr>
      <t>Ω</t>
    </r>
    <r>
      <rPr>
        <sz val="11"/>
        <color theme="1"/>
        <rFont val="Verdana"/>
        <family val="2"/>
        <scheme val="minor"/>
      </rPr>
      <t>]</t>
    </r>
  </si>
  <si>
    <t>EV.5.2.1
EV.5.6
EV.5.8.4</t>
  </si>
  <si>
    <t>EV.5.2.1
EV.5.4
EV.5.6</t>
  </si>
  <si>
    <t>EV.5.8</t>
  </si>
  <si>
    <t>EV.5.8.5</t>
  </si>
  <si>
    <t>EV.5.4</t>
  </si>
  <si>
    <t>EV.5.3</t>
  </si>
  <si>
    <t>EV.7.6</t>
  </si>
  <si>
    <t>EV.5.5</t>
  </si>
  <si>
    <t>EV.5.6</t>
  </si>
  <si>
    <t>EV.5.4.4</t>
  </si>
  <si>
    <t>EV.5.2.2.a
EV.5.2.3</t>
  </si>
  <si>
    <t>EV.5.8.4</t>
  </si>
  <si>
    <t>EV.7.7</t>
  </si>
  <si>
    <t>T.3.3</t>
  </si>
  <si>
    <t>T.9.4</t>
  </si>
  <si>
    <t>EV.7.3</t>
  </si>
  <si>
    <t>EV.7.1.4</t>
  </si>
  <si>
    <t>T.9.2.2</t>
  </si>
  <si>
    <t>EV.5.9</t>
  </si>
  <si>
    <t>Updated for 2024 season.</t>
  </si>
  <si>
    <t>HV DC/DC converter GLV connection (if applicable)</t>
  </si>
  <si>
    <t>IRs</t>
  </si>
  <si>
    <t>MSD</t>
  </si>
  <si>
    <t>EV.5.6.3.c</t>
  </si>
  <si>
    <t>IR</t>
  </si>
  <si>
    <t>EV.7.9.2</t>
  </si>
  <si>
    <t>EV.7.9.3</t>
  </si>
  <si>
    <t>EV.7.10.3</t>
  </si>
  <si>
    <t>EV.7.10.4</t>
  </si>
  <si>
    <t>EV.5.5.3</t>
  </si>
  <si>
    <t>MSD Interlock</t>
  </si>
  <si>
    <t>EV.7.1.2; EV.7.1.5</t>
  </si>
  <si>
    <t>Separating IRs and Fuse from cells</t>
  </si>
  <si>
    <t>Picture of Fuse and IRs Separation from Cells</t>
  </si>
  <si>
    <t>Fuse and IRs are separated from cells</t>
  </si>
  <si>
    <t>Positive IR coil</t>
  </si>
  <si>
    <t>Negative IR coil</t>
  </si>
  <si>
    <t>Fuse and IRs Separation Picture Shows</t>
  </si>
  <si>
    <t>Discharge still functions when MSD is opened</t>
  </si>
  <si>
    <t>EV.5.6.3.b</t>
  </si>
  <si>
    <t>EV.4.1.3.a</t>
  </si>
  <si>
    <t>EV.5.6.3.a</t>
  </si>
  <si>
    <t>EV.7.9.3.b</t>
  </si>
  <si>
    <t>EV.7.9.2.a</t>
  </si>
  <si>
    <t>Outboard Wheel Motor Interlocks  (if applicable)</t>
  </si>
  <si>
    <t>Bolted connections have positive locking</t>
  </si>
  <si>
    <t>Charging Shutdown Circuit Shows</t>
  </si>
  <si>
    <t>Current Valid</t>
  </si>
  <si>
    <t>Time Valid</t>
  </si>
  <si>
    <t>Maximum Unfused Lead Length</t>
  </si>
  <si>
    <t>Ready to Move Light Schematic Shows</t>
  </si>
  <si>
    <t>Light powered by GLV</t>
  </si>
  <si>
    <t>Light Source</t>
  </si>
  <si>
    <t>DOT FMVSS 108 compliant</t>
  </si>
  <si>
    <t>Light controlled by &gt;60V present in TS (hardware-based voltage detection)</t>
  </si>
  <si>
    <t>Light flashes at 2–5 Hz when &gt;60V present in TS</t>
  </si>
  <si>
    <t>Ready To Move Light Schematic</t>
  </si>
  <si>
    <t>Energy Meter (shunt and TS sense connection)</t>
  </si>
  <si>
    <t>Vehicle TSMP</t>
  </si>
  <si>
    <t>Charger TSMP</t>
  </si>
  <si>
    <t>Same parts as vehicle TSMP?</t>
  </si>
  <si>
    <t>BMS voltage sense fuse location</t>
  </si>
  <si>
    <t>Additional Comments &amp;
Heatsink Part Number(s)</t>
  </si>
  <si>
    <t>Tractive System Status Indicator Shows</t>
  </si>
  <si>
    <t>Tractive System Status Indicator placement in vehicle</t>
  </si>
  <si>
    <t>Distance from sensor to cell negative terminal connection</t>
  </si>
  <si>
    <t>Updated for 2025 rules and terminology, general bug fixes.</t>
  </si>
  <si>
    <t>Energy Meter Download Picture Shows</t>
  </si>
  <si>
    <t>Energy Meter Download Connector</t>
  </si>
  <si>
    <t>IMD, BMS, BSPD have independent power stages</t>
  </si>
  <si>
    <t>Location of overcurrent protection for parallel cells</t>
  </si>
  <si>
    <t>Relay power rating</t>
  </si>
  <si>
    <t>Switching Power [W]
(Enter N/A if not applicable)</t>
  </si>
  <si>
    <t>EV.3.2; EV.5.1.2</t>
  </si>
  <si>
    <t>EV.5.8.2; EV.5.8.4</t>
  </si>
  <si>
    <t>Charger Shutdown Button</t>
  </si>
  <si>
    <t>Galvanic Isolation between modules</t>
  </si>
  <si>
    <t>Module</t>
  </si>
  <si>
    <t>Module Data</t>
  </si>
  <si>
    <t>Module Energy [MJ]</t>
  </si>
  <si>
    <t>Module Insulation Picture Shows</t>
  </si>
  <si>
    <t>Picture of Insulation on Top of Module</t>
  </si>
  <si>
    <t>Tractive Battery</t>
  </si>
  <si>
    <t>Insulation between cells and tractive battery container</t>
  </si>
  <si>
    <t>Tractive Battery TS Schematic</t>
  </si>
  <si>
    <t>Tractive Battery Number</t>
  </si>
  <si>
    <t>Tractive Battery TS Schematic Shows</t>
  </si>
  <si>
    <t>Picture of Module Insulation between Cell Terminals and Sides of Tractive Battery Container</t>
  </si>
  <si>
    <t>Details of all TS circuits within tractive battery</t>
  </si>
  <si>
    <t>Tractive battery is shown as a single element (without internal details)</t>
  </si>
  <si>
    <t>Accessible without any additional disassembly</t>
  </si>
  <si>
    <t>Shows details of all TS circuits outside of tractive battery</t>
  </si>
  <si>
    <t>Voltage Indicator (must be powered directly by TS)</t>
  </si>
  <si>
    <t>TSMS is last switch (excluding precharge circuitry or interlocks)</t>
  </si>
  <si>
    <t>APPS1 output</t>
  </si>
  <si>
    <t>APPS2 output</t>
  </si>
  <si>
    <t>Delta</t>
  </si>
  <si>
    <t>Cell rating vs fuse check</t>
  </si>
  <si>
    <t>EV.3.2</t>
  </si>
  <si>
    <t>Energy Meter interlock</t>
  </si>
  <si>
    <t>Overcurrent Current Rating</t>
  </si>
  <si>
    <t>Schematic signals are clearly labeled (e.g., “Brake High,” “BSPD Fault,” etc.)</t>
  </si>
  <si>
    <t>APPS2 position at APPS1 output</t>
  </si>
  <si>
    <t>APPS1 position at APPS2 output</t>
  </si>
  <si>
    <t>T.4.2.3 part 3 check</t>
  </si>
  <si>
    <t>Updated for 2026 rules/terminology; general fixes; added dropdown for insulator flammability rating; added check for precharge/discharge relay switching power; added rule T.4.2.3 compliance check; added cell vs. cell fuse rating check; added clarification popups</t>
  </si>
  <si>
    <t>BSPD Brake Sensor input open/short circuit protection</t>
  </si>
  <si>
    <t>cell(s)</t>
  </si>
  <si>
    <t>EV.5.2.1
EV.5.2.5
EV.7.3
EV.7.3.2
EV.7.6.4</t>
  </si>
  <si>
    <t>EV.5.2.1
EV.7.6</t>
  </si>
  <si>
    <t>EV.5.2.1
EV.7.4.4
EV.7.3.3</t>
  </si>
  <si>
    <t>EV.5.2.1
EV.5.2.2.a
EV.5.2.3
EV.5.4.4
EV.7.2
EV.7.5.5.a</t>
  </si>
  <si>
    <t>EV.7.6.6</t>
  </si>
  <si>
    <t>EV.5.7</t>
  </si>
  <si>
    <t>EV.8.6</t>
  </si>
  <si>
    <t>EV.7.4.1
EV.7.4.3
EV.8.4.3.a</t>
  </si>
  <si>
    <t>EV.8.5</t>
  </si>
  <si>
    <t>EV.7.6.3
EV.7.6.5</t>
  </si>
  <si>
    <t>EV.7.6.5 check</t>
  </si>
  <si>
    <t>EV.5.6; EV.8.2.2.c</t>
  </si>
  <si>
    <t>EV.8.7</t>
  </si>
  <si>
    <t>EV.8.9.2</t>
  </si>
  <si>
    <t>EV.8.9.2.a</t>
  </si>
  <si>
    <t>EV.8.1.5</t>
  </si>
  <si>
    <t>EV.8.10.4</t>
  </si>
  <si>
    <t>EV.8.10.3</t>
  </si>
  <si>
    <t>Outboard Wheel Motor Interlocks (if applicable)</t>
  </si>
  <si>
    <t>EV.7.4.4</t>
  </si>
  <si>
    <t>EV.8.9.3</t>
  </si>
  <si>
    <t>EV.8.9.3.b</t>
  </si>
  <si>
    <t>EV.8.1.2; EV.8.1.6</t>
  </si>
  <si>
    <t>EV.8.1
EV.8.2</t>
  </si>
  <si>
    <t>EV.6.2</t>
  </si>
  <si>
    <t>EV.9.4.1</t>
  </si>
  <si>
    <t>EV.9.4.2</t>
  </si>
  <si>
    <t>EV.9.2.6</t>
  </si>
  <si>
    <t>EV.9.3</t>
  </si>
  <si>
    <t>EV.9.2.7</t>
  </si>
  <si>
    <t>EV.9.4</t>
  </si>
  <si>
    <t>EV.9.2.4</t>
  </si>
  <si>
    <t>EV.9.4.2.c</t>
  </si>
  <si>
    <t>Picture of Tractive System Status Indicator on car to prove compliance with EV.6.1</t>
  </si>
  <si>
    <t>Picture of Energy Meter on car to prove compliance with EV.3.2</t>
  </si>
  <si>
    <r>
      <t xml:space="preserve">Complete and submit the ESF using Microsoft Excel only. Google Sheets and other spreadsheet programs may alter formatting or protection and will result in automatic rejection.
</t>
    </r>
    <r>
      <rPr>
        <b/>
        <sz val="11"/>
        <rFont val="Verdana"/>
        <family val="2"/>
        <scheme val="minor"/>
      </rPr>
      <t>Input Cells:</t>
    </r>
    <r>
      <rPr>
        <sz val="11"/>
        <rFont val="Verdana"/>
        <family val="2"/>
        <scheme val="minor"/>
      </rPr>
      <t xml:space="preserve"> Cells requiring user input have an orange background.
</t>
    </r>
    <r>
      <rPr>
        <b/>
        <sz val="11"/>
        <rFont val="Verdana"/>
        <family val="2"/>
        <scheme val="minor"/>
      </rPr>
      <t>Status Indicators:</t>
    </r>
    <r>
      <rPr>
        <sz val="11"/>
        <rFont val="Verdana"/>
        <family val="2"/>
        <scheme val="minor"/>
      </rPr>
      <t xml:space="preserve"> Cells, sections, and worksheets have an overall status, indicated by blue background cells.
</t>
    </r>
    <r>
      <rPr>
        <b/>
        <sz val="11"/>
        <rFont val="Verdana"/>
        <family val="2"/>
        <scheme val="minor"/>
      </rPr>
      <t>Images and Schematics:</t>
    </r>
    <r>
      <rPr>
        <sz val="11"/>
        <rFont val="Verdana"/>
        <family val="2"/>
        <scheme val="minor"/>
      </rPr>
      <t xml:space="preserve"> Paste images or schematics over the specified area. Use high-resolution images and resize them appropriately.
</t>
    </r>
    <r>
      <rPr>
        <b/>
        <sz val="11"/>
        <rFont val="Verdana"/>
        <family val="2"/>
        <scheme val="minor"/>
      </rPr>
      <t>Datasheets:</t>
    </r>
    <r>
      <rPr>
        <sz val="11"/>
        <rFont val="Verdana"/>
        <family val="2"/>
        <scheme val="minor"/>
      </rPr>
      <t xml:space="preserve"> Provide a hyperlink to the manufacturer's datasheet where requested. For long datasheets, provide a a page number reference.
</t>
    </r>
    <r>
      <rPr>
        <b/>
        <sz val="11"/>
        <rFont val="Verdana"/>
        <family val="2"/>
        <scheme val="minor"/>
      </rPr>
      <t>Additional Comments:</t>
    </r>
    <r>
      <rPr>
        <sz val="11"/>
        <rFont val="Verdana"/>
        <family val="2"/>
        <scheme val="minor"/>
      </rPr>
      <t xml:space="preserve"> Use "Additional Comments" sections for information not covered by the specified fields. These sections are optional.</t>
    </r>
  </si>
  <si>
    <t>Main Connector</t>
  </si>
  <si>
    <t>EV.5.4.3.b</t>
  </si>
  <si>
    <t>Complete galvanic isolation when IRs are open</t>
  </si>
  <si>
    <t>Overcurrent Interrupt Rating</t>
  </si>
  <si>
    <t>Updated for 2027 rules and terminology, general bug fixes.</t>
  </si>
  <si>
    <t>Max regen 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</si>
</sst>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/d/yy;@"/>
    <numFmt numFmtId="166" formatCode="0.0%"/>
  </numFmts>
  <fonts count="22" x14ac:knownFonts="1">
    <font>
      <sz val="11"/>
      <color theme="1"/>
      <name val="Verdana"/>
      <family val="2"/>
      <scheme val="minor"/>
    </font>
    <font>
      <b/>
      <sz val="11"/>
      <color theme="1"/>
      <name val="Verdana"/>
      <family val="2"/>
      <scheme val="minor"/>
    </font>
    <font>
      <sz val="11"/>
      <color theme="1"/>
      <name val="Verdana"/>
      <family val="2"/>
      <scheme val="minor"/>
    </font>
    <font>
      <sz val="11"/>
      <color rgb="FF3F3F76"/>
      <name val="Verdana"/>
      <family val="2"/>
      <scheme val="minor"/>
    </font>
    <font>
      <b/>
      <sz val="11"/>
      <color rgb="FFFA7D00"/>
      <name val="Verdana"/>
      <family val="2"/>
      <scheme val="minor"/>
    </font>
    <font>
      <vertAlign val="superscript"/>
      <sz val="10"/>
      <color theme="1"/>
      <name val="Verdana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Verdana"/>
      <family val="2"/>
      <scheme val="minor"/>
    </font>
    <font>
      <u/>
      <sz val="11"/>
      <color theme="10"/>
      <name val="Verdana"/>
      <family val="2"/>
      <scheme val="minor"/>
    </font>
    <font>
      <sz val="11"/>
      <name val="Verdana"/>
      <family val="2"/>
      <scheme val="minor"/>
    </font>
    <font>
      <b/>
      <sz val="11"/>
      <color rgb="FF3F3F3F"/>
      <name val="Verdana"/>
      <family val="2"/>
      <scheme val="minor"/>
    </font>
    <font>
      <sz val="11"/>
      <color rgb="FF000000"/>
      <name val="Verdana"/>
      <family val="2"/>
      <scheme val="minor"/>
    </font>
    <font>
      <sz val="11"/>
      <color theme="1"/>
      <name val="Verdana"/>
      <family val="2"/>
    </font>
    <font>
      <sz val="9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.5"/>
      <color theme="1"/>
      <name val="Verdana"/>
      <family val="2"/>
      <scheme val="minor"/>
    </font>
    <font>
      <sz val="9.5"/>
      <color theme="1"/>
      <name val="Verdana"/>
      <family val="2"/>
      <scheme val="minor"/>
    </font>
    <font>
      <sz val="8"/>
      <color theme="1"/>
      <name val="Verdana"/>
      <family val="2"/>
      <scheme val="minor"/>
    </font>
    <font>
      <b/>
      <sz val="11"/>
      <name val="Verdana"/>
      <family val="2"/>
      <scheme val="minor"/>
    </font>
    <font>
      <sz val="7.5"/>
      <color theme="1"/>
      <name val="Verdana"/>
      <family val="2"/>
      <scheme val="minor"/>
    </font>
    <font>
      <sz val="8"/>
      <color rgb="FF3F3F76"/>
      <name val="Verdana"/>
      <family val="2"/>
      <scheme val="minor"/>
    </font>
    <font>
      <sz val="11"/>
      <color rgb="FFD9D9D9"/>
      <name val="Verdana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FFD966"/>
        <bgColor indexed="64"/>
      </patternFill>
    </fill>
  </fills>
  <borders count="4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7F7F7F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7F7F7F"/>
      </right>
      <top/>
      <bottom style="thin">
        <color rgb="FFA6A6A6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6A6A6"/>
      </right>
      <top/>
      <bottom style="thin">
        <color rgb="FF7F7F7F"/>
      </bottom>
      <diagonal/>
    </border>
    <border>
      <left/>
      <right style="thin">
        <color rgb="FFA6A6A6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3" fillId="2" borderId="1" applyNumberFormat="0" applyAlignment="0" applyProtection="0"/>
    <xf numFmtId="0" fontId="4" fillId="3" borderId="1" applyNumberFormat="0" applyAlignment="0" applyProtection="0"/>
    <xf numFmtId="0" fontId="2" fillId="4" borderId="0" applyNumberFormat="0" applyBorder="0" applyAlignment="0" applyProtection="0"/>
    <xf numFmtId="9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10" fillId="3" borderId="14" applyNumberFormat="0" applyAlignment="0" applyProtection="0"/>
  </cellStyleXfs>
  <cellXfs count="184">
    <xf numFmtId="0" fontId="0" fillId="0" borderId="0" xfId="0"/>
    <xf numFmtId="0" fontId="4" fillId="3" borderId="1" xfId="2"/>
    <xf numFmtId="0" fontId="0" fillId="5" borderId="0" xfId="0" applyFill="1"/>
    <xf numFmtId="0" fontId="3" fillId="2" borderId="1" xfId="1" applyProtection="1">
      <protection locked="0"/>
    </xf>
    <xf numFmtId="0" fontId="4" fillId="3" borderId="1" xfId="2" applyProtection="1"/>
    <xf numFmtId="2" fontId="4" fillId="3" borderId="1" xfId="2" applyNumberFormat="1"/>
    <xf numFmtId="164" fontId="4" fillId="3" borderId="1" xfId="2" applyNumberFormat="1"/>
    <xf numFmtId="9" fontId="0" fillId="0" borderId="0" xfId="4" applyFont="1" applyFill="1"/>
    <xf numFmtId="0" fontId="8" fillId="5" borderId="0" xfId="5" applyFill="1"/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vertical="top"/>
    </xf>
    <xf numFmtId="49" fontId="3" fillId="2" borderId="1" xfId="1" applyNumberFormat="1" applyProtection="1">
      <protection locked="0"/>
    </xf>
    <xf numFmtId="0" fontId="0" fillId="7" borderId="0" xfId="0" applyFill="1" applyAlignment="1">
      <alignment horizontal="center"/>
    </xf>
    <xf numFmtId="0" fontId="0" fillId="0" borderId="15" xfId="0" quotePrefix="1" applyBorder="1" applyAlignment="1">
      <alignment horizontal="right"/>
    </xf>
    <xf numFmtId="165" fontId="0" fillId="0" borderId="15" xfId="0" applyNumberFormat="1" applyBorder="1"/>
    <xf numFmtId="0" fontId="0" fillId="8" borderId="19" xfId="0" applyFill="1" applyBorder="1" applyAlignment="1">
      <alignment horizontal="center"/>
    </xf>
    <xf numFmtId="3" fontId="3" fillId="2" borderId="1" xfId="1" applyNumberFormat="1" applyProtection="1">
      <protection locked="0"/>
    </xf>
    <xf numFmtId="0" fontId="0" fillId="0" borderId="0" xfId="0" applyAlignment="1">
      <alignment horizontal="center" wrapText="1"/>
    </xf>
    <xf numFmtId="0" fontId="10" fillId="3" borderId="14" xfId="6"/>
    <xf numFmtId="0" fontId="3" fillId="2" borderId="1" xfId="1" applyAlignment="1" applyProtection="1">
      <alignment wrapText="1"/>
      <protection locked="0"/>
    </xf>
    <xf numFmtId="0" fontId="3" fillId="2" borderId="1" xfId="1" applyNumberFormat="1" applyProtection="1">
      <protection locked="0"/>
    </xf>
    <xf numFmtId="0" fontId="3" fillId="2" borderId="1" xfId="1" applyAlignment="1" applyProtection="1">
      <alignment horizontal="left"/>
      <protection locked="0"/>
    </xf>
    <xf numFmtId="0" fontId="1" fillId="4" borderId="0" xfId="3" applyFont="1" applyAlignment="1">
      <alignment horizontal="center"/>
    </xf>
    <xf numFmtId="0" fontId="1" fillId="0" borderId="15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1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3" fillId="2" borderId="1" xfId="1" applyAlignment="1" applyProtection="1">
      <protection locked="0"/>
    </xf>
    <xf numFmtId="0" fontId="2" fillId="0" borderId="15" xfId="3" applyFill="1" applyBorder="1" applyAlignment="1">
      <alignment horizontal="right"/>
    </xf>
    <xf numFmtId="0" fontId="15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4" fillId="3" borderId="15" xfId="2" applyBorder="1" applyAlignment="1"/>
    <xf numFmtId="0" fontId="0" fillId="0" borderId="5" xfId="0" applyBorder="1" applyAlignment="1">
      <alignment horizontal="right"/>
    </xf>
    <xf numFmtId="0" fontId="3" fillId="2" borderId="1" xfId="1" applyProtection="1"/>
    <xf numFmtId="49" fontId="20" fillId="2" borderId="1" xfId="1" applyNumberFormat="1" applyFont="1" applyProtection="1">
      <protection locked="0"/>
    </xf>
    <xf numFmtId="166" fontId="0" fillId="5" borderId="0" xfId="0" applyNumberFormat="1" applyFill="1"/>
    <xf numFmtId="9" fontId="0" fillId="5" borderId="0" xfId="0" applyNumberFormat="1" applyFill="1"/>
    <xf numFmtId="0" fontId="0" fillId="7" borderId="0" xfId="0" applyFill="1" applyAlignment="1">
      <alignment horizontal="center" vertical="center"/>
    </xf>
    <xf numFmtId="0" fontId="4" fillId="3" borderId="1" xfId="2" applyAlignment="1"/>
    <xf numFmtId="0" fontId="9" fillId="5" borderId="0" xfId="0" applyFont="1" applyFill="1"/>
    <xf numFmtId="0" fontId="21" fillId="5" borderId="0" xfId="0" applyFont="1" applyFill="1"/>
    <xf numFmtId="0" fontId="0" fillId="0" borderId="15" xfId="0" applyBorder="1" applyAlignment="1">
      <alignment horizontal="left"/>
    </xf>
    <xf numFmtId="0" fontId="1" fillId="0" borderId="15" xfId="3" applyFont="1" applyFill="1" applyBorder="1" applyAlignment="1">
      <alignment horizontal="center"/>
    </xf>
    <xf numFmtId="0" fontId="1" fillId="4" borderId="0" xfId="3" applyFont="1" applyAlignment="1">
      <alignment horizontal="center"/>
    </xf>
    <xf numFmtId="0" fontId="0" fillId="6" borderId="0" xfId="0" applyFill="1" applyAlignment="1">
      <alignment horizontal="right"/>
    </xf>
    <xf numFmtId="0" fontId="15" fillId="6" borderId="0" xfId="0" applyFont="1" applyFill="1" applyAlignment="1">
      <alignment horizontal="right"/>
    </xf>
    <xf numFmtId="0" fontId="9" fillId="0" borderId="0" xfId="0" quotePrefix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right"/>
    </xf>
    <xf numFmtId="0" fontId="10" fillId="3" borderId="14" xfId="6" applyAlignment="1" applyProtection="1">
      <alignment horizontal="left"/>
    </xf>
    <xf numFmtId="0" fontId="1" fillId="4" borderId="8" xfId="3" applyFont="1" applyBorder="1" applyAlignment="1">
      <alignment horizontal="center"/>
    </xf>
    <xf numFmtId="0" fontId="3" fillId="2" borderId="1" xfId="1" applyAlignment="1" applyProtection="1">
      <alignment horizontal="left"/>
      <protection locked="0"/>
    </xf>
    <xf numFmtId="0" fontId="2" fillId="0" borderId="36" xfId="3" applyFill="1" applyBorder="1" applyAlignment="1">
      <alignment horizontal="left" wrapText="1"/>
    </xf>
    <xf numFmtId="0" fontId="2" fillId="0" borderId="37" xfId="3" applyFill="1" applyBorder="1" applyAlignment="1">
      <alignment horizontal="left" wrapText="1"/>
    </xf>
    <xf numFmtId="0" fontId="2" fillId="0" borderId="38" xfId="3" applyFill="1" applyBorder="1" applyAlignment="1">
      <alignment horizontal="left" wrapText="1"/>
    </xf>
    <xf numFmtId="0" fontId="2" fillId="0" borderId="39" xfId="3" applyFill="1" applyBorder="1" applyAlignment="1">
      <alignment horizontal="left" wrapText="1"/>
    </xf>
    <xf numFmtId="0" fontId="2" fillId="0" borderId="0" xfId="3" applyFill="1" applyBorder="1" applyAlignment="1">
      <alignment horizontal="left" wrapText="1"/>
    </xf>
    <xf numFmtId="0" fontId="2" fillId="0" borderId="40" xfId="3" applyFill="1" applyBorder="1" applyAlignment="1">
      <alignment horizontal="left" wrapText="1"/>
    </xf>
    <xf numFmtId="0" fontId="2" fillId="0" borderId="41" xfId="3" applyFill="1" applyBorder="1" applyAlignment="1">
      <alignment horizontal="left" wrapText="1"/>
    </xf>
    <xf numFmtId="0" fontId="2" fillId="0" borderId="7" xfId="3" applyFill="1" applyBorder="1" applyAlignment="1">
      <alignment horizontal="left" wrapText="1"/>
    </xf>
    <xf numFmtId="0" fontId="2" fillId="0" borderId="42" xfId="3" applyFill="1" applyBorder="1" applyAlignment="1">
      <alignment horizontal="left" wrapText="1"/>
    </xf>
    <xf numFmtId="165" fontId="0" fillId="0" borderId="43" xfId="0" applyNumberFormat="1" applyBorder="1" applyAlignment="1">
      <alignment horizontal="right"/>
    </xf>
    <xf numFmtId="165" fontId="0" fillId="0" borderId="44" xfId="0" applyNumberFormat="1" applyBorder="1" applyAlignment="1">
      <alignment horizontal="right"/>
    </xf>
    <xf numFmtId="165" fontId="0" fillId="0" borderId="45" xfId="0" applyNumberFormat="1" applyBorder="1" applyAlignment="1">
      <alignment horizontal="right"/>
    </xf>
    <xf numFmtId="0" fontId="2" fillId="0" borderId="43" xfId="3" applyFill="1" applyBorder="1" applyAlignment="1">
      <alignment horizontal="right"/>
    </xf>
    <xf numFmtId="0" fontId="2" fillId="0" borderId="44" xfId="3" applyFill="1" applyBorder="1" applyAlignment="1">
      <alignment horizontal="right"/>
    </xf>
    <xf numFmtId="0" fontId="2" fillId="0" borderId="45" xfId="3" applyFill="1" applyBorder="1" applyAlignment="1">
      <alignment horizontal="right"/>
    </xf>
    <xf numFmtId="0" fontId="3" fillId="2" borderId="10" xfId="1" applyBorder="1" applyAlignment="1" applyProtection="1">
      <alignment horizontal="left" vertical="top" wrapText="1"/>
      <protection locked="0"/>
    </xf>
    <xf numFmtId="0" fontId="3" fillId="2" borderId="9" xfId="1" applyBorder="1" applyAlignment="1" applyProtection="1">
      <alignment horizontal="left" vertical="top" wrapText="1"/>
      <protection locked="0"/>
    </xf>
    <xf numFmtId="0" fontId="3" fillId="2" borderId="11" xfId="1" applyBorder="1" applyAlignment="1" applyProtection="1">
      <alignment horizontal="left" vertical="top" wrapText="1"/>
      <protection locked="0"/>
    </xf>
    <xf numFmtId="0" fontId="3" fillId="2" borderId="6" xfId="1" applyBorder="1" applyAlignment="1" applyProtection="1">
      <alignment horizontal="left" vertical="top" wrapText="1"/>
      <protection locked="0"/>
    </xf>
    <xf numFmtId="0" fontId="3" fillId="2" borderId="0" xfId="1" applyBorder="1" applyAlignment="1" applyProtection="1">
      <alignment horizontal="left" vertical="top" wrapText="1"/>
      <protection locked="0"/>
    </xf>
    <xf numFmtId="0" fontId="3" fillId="2" borderId="5" xfId="1" applyBorder="1" applyAlignment="1" applyProtection="1">
      <alignment horizontal="left" vertical="top" wrapText="1"/>
      <protection locked="0"/>
    </xf>
    <xf numFmtId="0" fontId="3" fillId="2" borderId="12" xfId="1" applyBorder="1" applyAlignment="1" applyProtection="1">
      <alignment horizontal="left" vertical="top" wrapText="1"/>
      <protection locked="0"/>
    </xf>
    <xf numFmtId="0" fontId="3" fillId="2" borderId="8" xfId="1" applyBorder="1" applyAlignment="1" applyProtection="1">
      <alignment horizontal="left" vertical="top" wrapText="1"/>
      <protection locked="0"/>
    </xf>
    <xf numFmtId="0" fontId="3" fillId="2" borderId="13" xfId="1" applyBorder="1" applyAlignment="1" applyProtection="1">
      <alignment horizontal="left" vertical="top" wrapText="1"/>
      <protection locked="0"/>
    </xf>
    <xf numFmtId="0" fontId="2" fillId="0" borderId="31" xfId="3" applyFill="1" applyBorder="1" applyAlignment="1">
      <alignment horizontal="left"/>
    </xf>
    <xf numFmtId="0" fontId="2" fillId="0" borderId="32" xfId="3" applyFill="1" applyBorder="1" applyAlignment="1">
      <alignment horizontal="left"/>
    </xf>
    <xf numFmtId="0" fontId="2" fillId="0" borderId="33" xfId="3" applyFill="1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right"/>
    </xf>
    <xf numFmtId="0" fontId="3" fillId="2" borderId="1" xfId="1" applyNumberFormat="1" applyAlignment="1" applyProtection="1">
      <alignment horizontal="left"/>
      <protection locked="0"/>
    </xf>
    <xf numFmtId="0" fontId="0" fillId="0" borderId="5" xfId="0" applyBorder="1" applyAlignment="1">
      <alignment horizontal="right"/>
    </xf>
    <xf numFmtId="0" fontId="3" fillId="2" borderId="1" xfId="1" applyAlignment="1" applyProtection="1">
      <alignment horizontal="center"/>
      <protection locked="0"/>
    </xf>
    <xf numFmtId="0" fontId="3" fillId="2" borderId="2" xfId="1" applyBorder="1" applyAlignment="1" applyProtection="1">
      <alignment horizontal="center"/>
      <protection locked="0"/>
    </xf>
    <xf numFmtId="0" fontId="3" fillId="2" borderId="3" xfId="1" applyBorder="1" applyAlignment="1" applyProtection="1">
      <alignment horizontal="center"/>
      <protection locked="0"/>
    </xf>
    <xf numFmtId="0" fontId="3" fillId="2" borderId="4" xfId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1" fillId="8" borderId="10" xfId="1" applyFont="1" applyFill="1" applyBorder="1" applyAlignment="1" applyProtection="1">
      <alignment horizontal="center"/>
    </xf>
    <xf numFmtId="0" fontId="11" fillId="8" borderId="11" xfId="1" applyFont="1" applyFill="1" applyBorder="1" applyAlignment="1" applyProtection="1">
      <alignment horizontal="center"/>
    </xf>
    <xf numFmtId="0" fontId="0" fillId="0" borderId="0" xfId="0" applyAlignment="1">
      <alignment horizontal="left"/>
    </xf>
    <xf numFmtId="0" fontId="0" fillId="0" borderId="25" xfId="0" applyBorder="1" applyAlignment="1">
      <alignment horizontal="left"/>
    </xf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8" borderId="16" xfId="3" applyFill="1" applyBorder="1" applyAlignment="1">
      <alignment horizontal="center"/>
    </xf>
    <xf numFmtId="0" fontId="2" fillId="8" borderId="17" xfId="3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3" fillId="2" borderId="1" xfId="1" applyAlignment="1">
      <alignment horizontal="center" vertical="center"/>
    </xf>
    <xf numFmtId="0" fontId="3" fillId="2" borderId="2" xfId="1" applyBorder="1" applyAlignment="1" applyProtection="1">
      <alignment horizontal="left"/>
      <protection locked="0"/>
    </xf>
    <xf numFmtId="0" fontId="3" fillId="2" borderId="3" xfId="1" applyBorder="1" applyAlignment="1" applyProtection="1">
      <alignment horizontal="left"/>
      <protection locked="0"/>
    </xf>
    <xf numFmtId="0" fontId="4" fillId="3" borderId="1" xfId="2" applyAlignment="1">
      <alignment horizontal="center"/>
    </xf>
    <xf numFmtId="0" fontId="19" fillId="0" borderId="0" xfId="0" applyFont="1" applyAlignment="1">
      <alignment horizontal="center" wrapText="1"/>
    </xf>
    <xf numFmtId="0" fontId="0" fillId="8" borderId="21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right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" fillId="2" borderId="21" xfId="1" applyBorder="1" applyAlignment="1" applyProtection="1">
      <alignment vertical="top" wrapText="1"/>
      <protection locked="0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30" xfId="0" applyBorder="1" applyAlignment="1">
      <alignment vertical="top" wrapText="1"/>
    </xf>
    <xf numFmtId="0" fontId="0" fillId="0" borderId="8" xfId="0" applyBorder="1" applyAlignment="1">
      <alignment horizontal="right"/>
    </xf>
    <xf numFmtId="0" fontId="4" fillId="3" borderId="2" xfId="2" applyBorder="1" applyAlignment="1">
      <alignment horizontal="center"/>
    </xf>
    <xf numFmtId="0" fontId="4" fillId="3" borderId="3" xfId="2" applyBorder="1" applyAlignment="1">
      <alignment horizontal="center"/>
    </xf>
    <xf numFmtId="0" fontId="3" fillId="2" borderId="1" xfId="1" applyAlignment="1" applyProtection="1">
      <alignment horizontal="left" vertical="top" wrapText="1"/>
      <protection locked="0"/>
    </xf>
    <xf numFmtId="0" fontId="1" fillId="4" borderId="34" xfId="3" applyFont="1" applyBorder="1" applyAlignment="1">
      <alignment horizontal="center"/>
    </xf>
    <xf numFmtId="0" fontId="3" fillId="2" borderId="1" xfId="1" applyAlignment="1" applyProtection="1">
      <alignment horizontal="center" vertical="center"/>
    </xf>
    <xf numFmtId="0" fontId="0" fillId="0" borderId="23" xfId="0" applyBorder="1" applyAlignment="1">
      <alignment horizontal="left" vertical="top" wrapText="1"/>
    </xf>
    <xf numFmtId="0" fontId="1" fillId="4" borderId="9" xfId="3" applyFont="1" applyBorder="1" applyAlignment="1">
      <alignment horizontal="center"/>
    </xf>
    <xf numFmtId="0" fontId="3" fillId="2" borderId="10" xfId="1" applyBorder="1" applyAlignment="1" applyProtection="1">
      <alignment horizontal="center" vertical="center" wrapText="1"/>
    </xf>
    <xf numFmtId="0" fontId="3" fillId="2" borderId="9" xfId="1" applyBorder="1" applyAlignment="1" applyProtection="1">
      <alignment horizontal="center" vertical="center" wrapText="1"/>
    </xf>
    <xf numFmtId="0" fontId="3" fillId="2" borderId="11" xfId="1" applyBorder="1" applyAlignment="1" applyProtection="1">
      <alignment horizontal="center" vertical="center" wrapText="1"/>
    </xf>
    <xf numFmtId="0" fontId="3" fillId="2" borderId="6" xfId="1" applyBorder="1" applyAlignment="1" applyProtection="1">
      <alignment horizontal="center" vertical="center" wrapText="1"/>
    </xf>
    <xf numFmtId="0" fontId="3" fillId="2" borderId="0" xfId="1" applyBorder="1" applyAlignment="1" applyProtection="1">
      <alignment horizontal="center" vertical="center" wrapText="1"/>
    </xf>
    <xf numFmtId="0" fontId="3" fillId="2" borderId="5" xfId="1" applyBorder="1" applyAlignment="1" applyProtection="1">
      <alignment horizontal="center" vertical="center" wrapText="1"/>
    </xf>
    <xf numFmtId="0" fontId="3" fillId="2" borderId="12" xfId="1" applyBorder="1" applyAlignment="1" applyProtection="1">
      <alignment horizontal="center" vertical="center" wrapText="1"/>
    </xf>
    <xf numFmtId="0" fontId="3" fillId="2" borderId="8" xfId="1" applyBorder="1" applyAlignment="1" applyProtection="1">
      <alignment horizontal="center" vertical="center" wrapText="1"/>
    </xf>
    <xf numFmtId="0" fontId="3" fillId="2" borderId="13" xfId="1" applyBorder="1" applyAlignment="1" applyProtection="1">
      <alignment horizontal="center" vertical="center" wrapText="1"/>
    </xf>
    <xf numFmtId="0" fontId="3" fillId="2" borderId="1" xfId="1" applyAlignment="1" applyProtection="1">
      <alignment horizontal="center" vertical="center" wrapText="1"/>
    </xf>
    <xf numFmtId="0" fontId="3" fillId="2" borderId="23" xfId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49" fontId="3" fillId="2" borderId="1" xfId="1" applyNumberFormat="1" applyAlignment="1" applyProtection="1">
      <alignment horizontal="left"/>
      <protection locked="0"/>
    </xf>
    <xf numFmtId="0" fontId="0" fillId="0" borderId="25" xfId="0" applyBorder="1" applyAlignment="1">
      <alignment horizontal="center"/>
    </xf>
    <xf numFmtId="0" fontId="2" fillId="8" borderId="18" xfId="3" applyFill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3" fillId="2" borderId="22" xfId="1" applyBorder="1" applyAlignment="1" applyProtection="1">
      <alignment horizontal="center"/>
      <protection locked="0"/>
    </xf>
    <xf numFmtId="0" fontId="2" fillId="8" borderId="16" xfId="3" applyFill="1" applyBorder="1" applyAlignment="1">
      <alignment horizontal="right"/>
    </xf>
    <xf numFmtId="0" fontId="2" fillId="8" borderId="17" xfId="3" applyFill="1" applyBorder="1" applyAlignment="1">
      <alignment horizontal="right"/>
    </xf>
    <xf numFmtId="0" fontId="2" fillId="8" borderId="18" xfId="3" applyFill="1" applyBorder="1" applyAlignment="1">
      <alignment horizontal="right"/>
    </xf>
    <xf numFmtId="0" fontId="2" fillId="0" borderId="16" xfId="3" applyFill="1" applyBorder="1" applyAlignment="1">
      <alignment horizontal="center"/>
    </xf>
    <xf numFmtId="0" fontId="2" fillId="0" borderId="18" xfId="3" applyFill="1" applyBorder="1" applyAlignment="1">
      <alignment horizontal="center"/>
    </xf>
    <xf numFmtId="0" fontId="3" fillId="2" borderId="1" xfId="1" applyAlignment="1" applyProtection="1">
      <protection locked="0"/>
    </xf>
    <xf numFmtId="0" fontId="1" fillId="4" borderId="35" xfId="3" applyFont="1" applyBorder="1" applyAlignment="1">
      <alignment horizontal="center"/>
    </xf>
    <xf numFmtId="0" fontId="3" fillId="2" borderId="4" xfId="1" applyBorder="1" applyAlignment="1" applyProtection="1">
      <alignment horizontal="left"/>
      <protection locked="0"/>
    </xf>
    <xf numFmtId="0" fontId="15" fillId="0" borderId="0" xfId="0" applyFont="1" applyAlignment="1">
      <alignment horizontal="left"/>
    </xf>
    <xf numFmtId="0" fontId="2" fillId="0" borderId="25" xfId="3" applyFill="1" applyBorder="1" applyAlignment="1">
      <alignment horizontal="right"/>
    </xf>
    <xf numFmtId="0" fontId="16" fillId="0" borderId="0" xfId="0" applyFont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4" fillId="0" borderId="0" xfId="0" applyFont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2" fillId="0" borderId="17" xfId="3" applyFill="1" applyBorder="1" applyAlignment="1">
      <alignment horizontal="center"/>
    </xf>
    <xf numFmtId="0" fontId="0" fillId="0" borderId="0" xfId="0" applyAlignment="1">
      <alignment horizontal="right" wrapText="1"/>
    </xf>
    <xf numFmtId="0" fontId="0" fillId="0" borderId="9" xfId="0" applyBorder="1" applyAlignment="1">
      <alignment horizontal="left"/>
    </xf>
    <xf numFmtId="0" fontId="0" fillId="7" borderId="0" xfId="0" applyFill="1" applyAlignment="1">
      <alignment horizontal="center"/>
    </xf>
  </cellXfs>
  <cellStyles count="7">
    <cellStyle name="40% - Accent1" xfId="3" builtinId="31"/>
    <cellStyle name="Calculation" xfId="2" builtinId="22"/>
    <cellStyle name="Hyperlink" xfId="5" builtinId="8"/>
    <cellStyle name="Input" xfId="1" builtinId="20"/>
    <cellStyle name="Normal" xfId="0" builtinId="0"/>
    <cellStyle name="Output" xfId="6" builtinId="21"/>
    <cellStyle name="Percent" xfId="4" builtinId="5"/>
  </cellStyles>
  <dxfs count="14"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colors>
    <mruColors>
      <color rgb="FFD9D9D9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Test 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'Tractive Battery'!$D$79:$D$94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xVal>
          <c:yVal>
            <c:numRef>
              <c:f>'Tractive Battery'!$E$79:$E$94</c:f>
              <c:numCache>
                <c:formatCode>General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79-4D8E-BB06-5D3A7DD8CF3C}"/>
            </c:ext>
          </c:extLst>
        </c:ser>
        <c:ser>
          <c:idx val="1"/>
          <c:order val="1"/>
          <c:tx>
            <c:v>Continuous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'Tractive Battery'!$K$72:$K$73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xVal>
          <c:yVal>
            <c:numRef>
              <c:f>'Tractive Battery'!$J$73:$J$74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6-4643-BBF1-7AEC6332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796879"/>
        <c:axId val="467792303"/>
      </c:scatterChart>
      <c:valAx>
        <c:axId val="467796879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2303"/>
        <c:crosses val="autoZero"/>
        <c:crossBetween val="midCat"/>
      </c:valAx>
      <c:valAx>
        <c:axId val="46779230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79687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APPS1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'Torque Security'!$A$6:$A$11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Security'!$B$6:$B$11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1-4966-AB63-F452BCD6BCA3}"/>
            </c:ext>
          </c:extLst>
        </c:ser>
        <c:ser>
          <c:idx val="1"/>
          <c:order val="1"/>
          <c:tx>
            <c:v>APPS2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'Torque Security'!$A$6:$A$11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xVal>
          <c:yVal>
            <c:numRef>
              <c:f>'Torque Security'!$D$6:$D$11</c:f>
              <c:numCache>
                <c:formatCode>General</c:formatCode>
                <c:ptCount val="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1-4966-AB63-F452BCD6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187487"/>
        <c:axId val="664192479"/>
      </c:scatterChart>
      <c:valAx>
        <c:axId val="664187487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Pedal Position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92479"/>
        <c:crosses val="autoZero"/>
        <c:crossBetween val="midCat"/>
      </c:valAx>
      <c:valAx>
        <c:axId val="66419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Sensor Output</a:t>
                </a:r>
                <a:r>
                  <a:rPr lang="en-US" baseline="0"/>
                  <a:t> [V]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18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191549</xdr:colOff>
      <xdr:row>69</xdr:row>
      <xdr:rowOff>160877</xdr:rowOff>
    </xdr:from>
    <xdr:to>
      <xdr:col>15</xdr:col>
      <xdr:colOff>321679</xdr:colOff>
      <xdr:row>85</xdr:row>
      <xdr:rowOff>77778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125730</xdr:colOff>
      <xdr:row>11</xdr:row>
      <xdr:rowOff>114300</xdr:rowOff>
    </xdr:from>
    <xdr:to>
      <xdr:col>6</xdr:col>
      <xdr:colOff>87630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John Deere">
      <a:dk1>
        <a:sysClr val="windowText" lastClr="000000"/>
      </a:dk1>
      <a:lt1>
        <a:sysClr val="window" lastClr="FFFFFF"/>
      </a:lt1>
      <a:dk2>
        <a:srgbClr val="367C2B"/>
      </a:dk2>
      <a:lt2>
        <a:srgbClr val="FFDE00"/>
      </a:lt2>
      <a:accent1>
        <a:srgbClr val="367C2B"/>
      </a:accent1>
      <a:accent2>
        <a:srgbClr val="FFDE00"/>
      </a:accent2>
      <a:accent3>
        <a:srgbClr val="333333"/>
      </a:accent3>
      <a:accent4>
        <a:srgbClr val="86B080"/>
      </a:accent4>
      <a:accent5>
        <a:srgbClr val="FFF173"/>
      </a:accent5>
      <a:accent6>
        <a:srgbClr val="CCCCCC"/>
      </a:accent6>
      <a:hlink>
        <a:srgbClr val="367C2B"/>
      </a:hlink>
      <a:folHlink>
        <a:srgbClr val="666666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50"/>
  <sheetViews>
    <sheetView tabSelected="1" zoomScaleNormal="100" workbookViewId="0">
      <selection sqref="A1:H1"/>
    </sheetView>
  </sheetViews>
  <sheetFormatPr defaultColWidth="8.7109375" defaultRowHeight="13.5" x14ac:dyDescent="0.25"/>
  <cols>
    <col min="1" max="1" width="8.7109375" style="2"/>
    <col min="2" max="2" width="9.28515625" style="2" customWidth="1"/>
    <col min="3" max="7" width="8.7109375" style="2"/>
    <col min="8" max="8" width="8.7109375" style="2" customWidth="1"/>
    <col min="9" max="16384" width="8.7109375" style="2"/>
  </cols>
  <sheetData>
    <row r="1" spans="1:16" ht="13.75" x14ac:dyDescent="0.25">
      <c r="A1" s="46" t="s">
        <v>0</v>
      </c>
      <c r="B1" s="46"/>
      <c r="C1" s="46"/>
      <c r="D1" s="46"/>
      <c r="E1" s="46"/>
      <c r="F1" s="46"/>
      <c r="G1" s="46"/>
      <c r="H1" s="46"/>
      <c r="J1" s="46" t="s">
        <v>1</v>
      </c>
      <c r="K1" s="46"/>
      <c r="L1" s="46"/>
    </row>
    <row r="2" spans="1:16" x14ac:dyDescent="0.25">
      <c r="A2" s="49" t="s">
        <v>405</v>
      </c>
      <c r="B2" s="50"/>
      <c r="C2" s="50"/>
      <c r="D2" s="50"/>
      <c r="E2" s="50"/>
      <c r="F2" s="50"/>
      <c r="G2" s="50"/>
      <c r="H2" s="50"/>
      <c r="J2" s="47" t="s">
        <v>2</v>
      </c>
      <c r="K2" s="47"/>
      <c r="L2" s="12" t="str">
        <f ca="1">Datasheets!C1</f>
        <v>BLANK</v>
      </c>
    </row>
    <row r="3" spans="1:16" x14ac:dyDescent="0.25">
      <c r="A3" s="50"/>
      <c r="B3" s="50"/>
      <c r="C3" s="50"/>
      <c r="D3" s="50"/>
      <c r="E3" s="50"/>
      <c r="F3" s="50"/>
      <c r="G3" s="50"/>
      <c r="H3" s="50"/>
      <c r="J3" s="47" t="s">
        <v>3</v>
      </c>
      <c r="K3" s="47"/>
      <c r="L3" s="12" t="str">
        <f ca="1">'TS Schematics'!B1</f>
        <v>BLANK</v>
      </c>
    </row>
    <row r="4" spans="1:16" x14ac:dyDescent="0.25">
      <c r="A4" s="50"/>
      <c r="B4" s="50"/>
      <c r="C4" s="50"/>
      <c r="D4" s="50"/>
      <c r="E4" s="50"/>
      <c r="F4" s="50"/>
      <c r="G4" s="50"/>
      <c r="H4" s="50"/>
      <c r="J4" s="47" t="s">
        <v>344</v>
      </c>
      <c r="K4" s="47"/>
      <c r="L4" s="12" t="str">
        <f ca="1">'Tractive Battery'!B1</f>
        <v>BLANK</v>
      </c>
    </row>
    <row r="5" spans="1:16" x14ac:dyDescent="0.25">
      <c r="A5" s="50"/>
      <c r="B5" s="50"/>
      <c r="C5" s="50"/>
      <c r="D5" s="50"/>
      <c r="E5" s="50"/>
      <c r="F5" s="50"/>
      <c r="G5" s="50"/>
      <c r="H5" s="50"/>
      <c r="J5" s="48" t="s">
        <v>4</v>
      </c>
      <c r="K5" s="48"/>
      <c r="L5" s="12" t="str">
        <f ca="1">PrechargeDischarge!B1</f>
        <v>BLANK</v>
      </c>
    </row>
    <row r="6" spans="1:16" x14ac:dyDescent="0.25">
      <c r="A6" s="50"/>
      <c r="B6" s="50"/>
      <c r="C6" s="50"/>
      <c r="D6" s="50"/>
      <c r="E6" s="50"/>
      <c r="F6" s="50"/>
      <c r="G6" s="50"/>
      <c r="H6" s="50"/>
      <c r="J6" s="47" t="s">
        <v>5</v>
      </c>
      <c r="K6" s="47"/>
      <c r="L6" s="12" t="str">
        <f ca="1">Charging!B1</f>
        <v>BLANK</v>
      </c>
    </row>
    <row r="7" spans="1:16" x14ac:dyDescent="0.25">
      <c r="A7" s="50"/>
      <c r="B7" s="50"/>
      <c r="C7" s="50"/>
      <c r="D7" s="50"/>
      <c r="E7" s="50"/>
      <c r="F7" s="50"/>
      <c r="G7" s="50"/>
      <c r="H7" s="50"/>
      <c r="J7" s="47" t="s">
        <v>6</v>
      </c>
      <c r="K7" s="47"/>
      <c r="L7" s="12" t="str">
        <f ca="1">'Shutdown Circuit'!B1</f>
        <v>BLANK</v>
      </c>
    </row>
    <row r="8" spans="1:16" x14ac:dyDescent="0.25">
      <c r="A8" s="50"/>
      <c r="B8" s="50"/>
      <c r="C8" s="50"/>
      <c r="D8" s="50"/>
      <c r="E8" s="50"/>
      <c r="F8" s="50"/>
      <c r="G8" s="50"/>
      <c r="H8" s="50"/>
      <c r="J8" s="47" t="s">
        <v>7</v>
      </c>
      <c r="K8" s="47"/>
      <c r="L8" s="12" t="str">
        <f ca="1">'Torque Security'!$B$1</f>
        <v>BLANK</v>
      </c>
    </row>
    <row r="9" spans="1:16" x14ac:dyDescent="0.25">
      <c r="A9" s="50"/>
      <c r="B9" s="50"/>
      <c r="C9" s="50"/>
      <c r="D9" s="50"/>
      <c r="E9" s="50"/>
      <c r="F9" s="50"/>
      <c r="G9" s="50"/>
      <c r="H9" s="50"/>
      <c r="J9" s="47" t="s">
        <v>8</v>
      </c>
      <c r="K9" s="47"/>
      <c r="L9" s="12" t="str">
        <f>Other!B1</f>
        <v>BLANK</v>
      </c>
    </row>
    <row r="10" spans="1:16" x14ac:dyDescent="0.25">
      <c r="A10" s="50"/>
      <c r="B10" s="50"/>
      <c r="C10" s="50"/>
      <c r="D10" s="50"/>
      <c r="E10" s="50"/>
      <c r="F10" s="50"/>
      <c r="G10" s="50"/>
      <c r="H10" s="50"/>
    </row>
    <row r="11" spans="1:16" x14ac:dyDescent="0.25">
      <c r="A11" s="50"/>
      <c r="B11" s="50"/>
      <c r="C11" s="50"/>
      <c r="D11" s="50"/>
      <c r="E11" s="50"/>
      <c r="F11" s="50"/>
      <c r="G11" s="50"/>
      <c r="H11" s="50"/>
      <c r="J11" s="51" t="s">
        <v>9</v>
      </c>
      <c r="K11" s="51"/>
      <c r="L11" s="54"/>
      <c r="M11" s="54"/>
      <c r="N11" s="54"/>
      <c r="O11" s="54"/>
      <c r="P11" s="54"/>
    </row>
    <row r="12" spans="1:16" x14ac:dyDescent="0.25">
      <c r="A12" s="50"/>
      <c r="B12" s="50"/>
      <c r="C12" s="50"/>
      <c r="D12" s="50"/>
      <c r="E12" s="50"/>
      <c r="F12" s="50"/>
      <c r="G12" s="50"/>
      <c r="H12" s="50"/>
      <c r="J12" s="51" t="s">
        <v>10</v>
      </c>
      <c r="K12" s="51"/>
      <c r="L12" s="54"/>
      <c r="M12" s="54"/>
      <c r="N12" s="54"/>
      <c r="O12" s="54"/>
      <c r="P12" s="54"/>
    </row>
    <row r="13" spans="1:16" x14ac:dyDescent="0.25">
      <c r="A13" s="50"/>
      <c r="B13" s="50"/>
      <c r="C13" s="50"/>
      <c r="D13" s="50"/>
      <c r="E13" s="50"/>
      <c r="F13" s="50"/>
      <c r="G13" s="50"/>
      <c r="H13" s="50"/>
      <c r="J13" s="51" t="s">
        <v>11</v>
      </c>
      <c r="K13" s="51"/>
      <c r="L13" s="52">
        <v>2027</v>
      </c>
      <c r="M13" s="52"/>
      <c r="N13" s="52"/>
      <c r="O13" s="52"/>
      <c r="P13" s="52"/>
    </row>
    <row r="14" spans="1:16" x14ac:dyDescent="0.25">
      <c r="A14" s="50"/>
      <c r="B14" s="50"/>
      <c r="C14" s="50"/>
      <c r="D14" s="50"/>
      <c r="E14" s="50"/>
      <c r="F14" s="50"/>
      <c r="G14" s="50"/>
      <c r="H14" s="50"/>
    </row>
    <row r="15" spans="1:16" x14ac:dyDescent="0.25">
      <c r="A15" s="50"/>
      <c r="B15" s="50"/>
      <c r="C15" s="50"/>
      <c r="D15" s="50"/>
      <c r="E15" s="50"/>
      <c r="F15" s="50"/>
      <c r="G15" s="50"/>
      <c r="H15" s="50"/>
      <c r="J15" s="47" t="s">
        <v>12</v>
      </c>
      <c r="K15" s="47"/>
      <c r="L15" s="18">
        <f>MaxTSVoltage</f>
        <v>0</v>
      </c>
      <c r="M15" s="2" t="s">
        <v>13</v>
      </c>
    </row>
    <row r="16" spans="1:16" x14ac:dyDescent="0.25">
      <c r="A16" s="50"/>
      <c r="B16" s="50"/>
      <c r="C16" s="50"/>
      <c r="D16" s="50"/>
      <c r="E16" s="50"/>
      <c r="F16" s="50"/>
      <c r="G16" s="50"/>
      <c r="H16" s="50"/>
      <c r="J16" s="47" t="s">
        <v>110</v>
      </c>
      <c r="K16" s="47"/>
      <c r="L16" s="18" t="e">
        <f ca="1">MainFuseA</f>
        <v>#N/A</v>
      </c>
      <c r="M16" s="2" t="s">
        <v>14</v>
      </c>
    </row>
    <row r="17" spans="1:16" x14ac:dyDescent="0.25">
      <c r="A17" s="50"/>
      <c r="B17" s="50"/>
      <c r="C17" s="50"/>
      <c r="D17" s="50"/>
      <c r="E17" s="50"/>
      <c r="F17" s="50"/>
      <c r="G17" s="50"/>
      <c r="H17" s="50"/>
    </row>
    <row r="19" spans="1:16" x14ac:dyDescent="0.25">
      <c r="A19" s="53" t="s">
        <v>15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</row>
    <row r="20" spans="1:16" x14ac:dyDescent="0.25">
      <c r="A20" s="70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2"/>
    </row>
    <row r="21" spans="1:16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5"/>
    </row>
    <row r="22" spans="1:16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5"/>
    </row>
    <row r="23" spans="1:16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5"/>
    </row>
    <row r="24" spans="1:16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5"/>
    </row>
    <row r="25" spans="1:16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5"/>
    </row>
    <row r="26" spans="1:16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5"/>
    </row>
    <row r="27" spans="1:16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5"/>
    </row>
    <row r="28" spans="1:16" x14ac:dyDescent="0.25">
      <c r="A28" s="73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5"/>
    </row>
    <row r="29" spans="1:16" x14ac:dyDescent="0.25">
      <c r="A29" s="73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5"/>
    </row>
    <row r="30" spans="1:16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</row>
    <row r="31" spans="1:16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5"/>
    </row>
    <row r="32" spans="1:16" x14ac:dyDescent="0.25">
      <c r="A32" s="73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5"/>
    </row>
    <row r="33" spans="1:16" x14ac:dyDescent="0.25">
      <c r="A33" s="73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5"/>
    </row>
    <row r="34" spans="1:16" x14ac:dyDescent="0.2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5"/>
    </row>
    <row r="35" spans="1:16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8"/>
    </row>
    <row r="38" spans="1:16" x14ac:dyDescent="0.25">
      <c r="A38" s="46" t="s">
        <v>16</v>
      </c>
      <c r="B38" s="46"/>
      <c r="C38" s="46"/>
      <c r="D38" s="46"/>
      <c r="E38" s="46"/>
      <c r="F38" s="46"/>
      <c r="G38" s="46"/>
      <c r="H38" s="46"/>
    </row>
    <row r="39" spans="1:16" x14ac:dyDescent="0.25">
      <c r="A39" s="23" t="s">
        <v>17</v>
      </c>
      <c r="B39" s="23" t="s">
        <v>18</v>
      </c>
      <c r="C39" s="45" t="s">
        <v>19</v>
      </c>
      <c r="D39" s="45"/>
      <c r="E39" s="45"/>
      <c r="F39" s="45"/>
      <c r="G39" s="45"/>
      <c r="H39" s="45"/>
    </row>
    <row r="40" spans="1:16" x14ac:dyDescent="0.25">
      <c r="A40" s="30">
        <v>2.7</v>
      </c>
      <c r="B40" s="14">
        <v>45929</v>
      </c>
      <c r="C40" s="79" t="s">
        <v>410</v>
      </c>
      <c r="D40" s="80"/>
      <c r="E40" s="80"/>
      <c r="F40" s="80"/>
      <c r="G40" s="80"/>
      <c r="H40" s="81"/>
    </row>
    <row r="41" spans="1:16" ht="13.75" customHeight="1" x14ac:dyDescent="0.25">
      <c r="A41" s="67">
        <v>2.6</v>
      </c>
      <c r="B41" s="64">
        <v>45921</v>
      </c>
      <c r="C41" s="55" t="s">
        <v>367</v>
      </c>
      <c r="D41" s="56"/>
      <c r="E41" s="56"/>
      <c r="F41" s="56"/>
      <c r="G41" s="56"/>
      <c r="H41" s="57"/>
    </row>
    <row r="42" spans="1:16" x14ac:dyDescent="0.25">
      <c r="A42" s="68"/>
      <c r="B42" s="65"/>
      <c r="C42" s="58"/>
      <c r="D42" s="59"/>
      <c r="E42" s="59"/>
      <c r="F42" s="59"/>
      <c r="G42" s="59"/>
      <c r="H42" s="60"/>
    </row>
    <row r="43" spans="1:16" x14ac:dyDescent="0.25">
      <c r="A43" s="68"/>
      <c r="B43" s="65"/>
      <c r="C43" s="58"/>
      <c r="D43" s="59"/>
      <c r="E43" s="59"/>
      <c r="F43" s="59"/>
      <c r="G43" s="59"/>
      <c r="H43" s="60"/>
    </row>
    <row r="44" spans="1:16" x14ac:dyDescent="0.25">
      <c r="A44" s="68"/>
      <c r="B44" s="65"/>
      <c r="C44" s="58"/>
      <c r="D44" s="59"/>
      <c r="E44" s="59"/>
      <c r="F44" s="59"/>
      <c r="G44" s="59"/>
      <c r="H44" s="60"/>
    </row>
    <row r="45" spans="1:16" x14ac:dyDescent="0.25">
      <c r="A45" s="69"/>
      <c r="B45" s="66"/>
      <c r="C45" s="61"/>
      <c r="D45" s="62"/>
      <c r="E45" s="62"/>
      <c r="F45" s="62"/>
      <c r="G45" s="62"/>
      <c r="H45" s="63"/>
    </row>
    <row r="46" spans="1:16" x14ac:dyDescent="0.25">
      <c r="A46" s="30">
        <v>2.4</v>
      </c>
      <c r="B46" s="14">
        <v>45565</v>
      </c>
      <c r="C46" s="79" t="s">
        <v>328</v>
      </c>
      <c r="D46" s="80"/>
      <c r="E46" s="80"/>
      <c r="F46" s="80"/>
      <c r="G46" s="80"/>
      <c r="H46" s="81"/>
    </row>
    <row r="47" spans="1:16" x14ac:dyDescent="0.25">
      <c r="A47" s="30">
        <v>2.2999999999999998</v>
      </c>
      <c r="B47" s="14">
        <v>45228</v>
      </c>
      <c r="C47" s="79" t="s">
        <v>281</v>
      </c>
      <c r="D47" s="80"/>
      <c r="E47" s="80"/>
      <c r="F47" s="80"/>
      <c r="G47" s="80"/>
      <c r="H47" s="81"/>
    </row>
    <row r="48" spans="1:16" x14ac:dyDescent="0.25">
      <c r="A48" s="30">
        <v>2.2000000000000002</v>
      </c>
      <c r="B48" s="14">
        <v>44868</v>
      </c>
      <c r="C48" s="79" t="s">
        <v>259</v>
      </c>
      <c r="D48" s="80"/>
      <c r="E48" s="80"/>
      <c r="F48" s="80"/>
      <c r="G48" s="80"/>
      <c r="H48" s="81"/>
    </row>
    <row r="49" spans="1:8" x14ac:dyDescent="0.25">
      <c r="A49" s="13">
        <v>2.1</v>
      </c>
      <c r="B49" s="14">
        <v>44491</v>
      </c>
      <c r="C49" s="44" t="s">
        <v>260</v>
      </c>
      <c r="D49" s="44"/>
      <c r="E49" s="44"/>
      <c r="F49" s="44"/>
      <c r="G49" s="44"/>
      <c r="H49" s="44"/>
    </row>
    <row r="50" spans="1:8" x14ac:dyDescent="0.25">
      <c r="A50" s="13" t="s">
        <v>20</v>
      </c>
      <c r="B50" s="14">
        <v>44162</v>
      </c>
      <c r="C50" s="44" t="s">
        <v>21</v>
      </c>
      <c r="D50" s="44"/>
      <c r="E50" s="44"/>
      <c r="F50" s="44"/>
      <c r="G50" s="44"/>
      <c r="H50" s="44"/>
    </row>
  </sheetData>
  <sheetProtection algorithmName="SHA-512" hashValue="bSir3xf3b0hK8RaR83/Df/0Pwev9HsF/XzTmHuyx6hCW5Bit8YRnbcKITngkGZPRWuFyMC5MwW/OZ+gepVxKZA==" saltValue="zKgrVONzwa8pnfxIHjHHCg==" spinCount="100000" sheet="1" scenarios="1" insertHyperlinks="0"/>
  <mergeCells count="32">
    <mergeCell ref="C41:H45"/>
    <mergeCell ref="B41:B45"/>
    <mergeCell ref="A41:A45"/>
    <mergeCell ref="C49:H49"/>
    <mergeCell ref="A20:P35"/>
    <mergeCell ref="A38:H38"/>
    <mergeCell ref="C48:H48"/>
    <mergeCell ref="C47:H47"/>
    <mergeCell ref="C46:H46"/>
    <mergeCell ref="C40:H40"/>
    <mergeCell ref="A19:P19"/>
    <mergeCell ref="J8:K8"/>
    <mergeCell ref="J9:K9"/>
    <mergeCell ref="L11:P11"/>
    <mergeCell ref="L12:P12"/>
    <mergeCell ref="J16:K16"/>
    <mergeCell ref="C50:H50"/>
    <mergeCell ref="C39:H39"/>
    <mergeCell ref="J1:L1"/>
    <mergeCell ref="A1:H1"/>
    <mergeCell ref="J2:K2"/>
    <mergeCell ref="J3:K3"/>
    <mergeCell ref="J4:K4"/>
    <mergeCell ref="J5:K5"/>
    <mergeCell ref="J6:K6"/>
    <mergeCell ref="J7:K7"/>
    <mergeCell ref="A2:H17"/>
    <mergeCell ref="J12:K12"/>
    <mergeCell ref="J11:K11"/>
    <mergeCell ref="J13:K13"/>
    <mergeCell ref="L13:P13"/>
    <mergeCell ref="J15:K15"/>
  </mergeCell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  <ignoredErrors>
    <ignoredError sqref="A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U105"/>
  <sheetViews>
    <sheetView topLeftCell="B1" zoomScaleNormal="100" workbookViewId="0">
      <selection activeCell="B1" sqref="B1"/>
    </sheetView>
  </sheetViews>
  <sheetFormatPr defaultColWidth="8.7109375" defaultRowHeight="13.5" x14ac:dyDescent="0.25"/>
  <cols>
    <col min="1" max="1" width="15.7109375" style="2" hidden="1" customWidth="1"/>
    <col min="2" max="2" width="11.92578125" style="2" customWidth="1"/>
    <col min="3" max="4" width="8.7109375" style="2"/>
    <col min="5" max="6" width="8.7109375" style="2" customWidth="1"/>
    <col min="7" max="16384" width="8.7109375" style="2"/>
  </cols>
  <sheetData>
    <row r="1" spans="2:8" ht="13.75" x14ac:dyDescent="0.25">
      <c r="B1" s="26" t="s">
        <v>1</v>
      </c>
      <c r="C1" s="12" t="str" cm="1">
        <f t="array" aca="1" ref="C1" ca="1">IF( SUM(COUNTIF(INDIRECT({"Datasheets!$F$2","Datasheets!$K$17","Datasheets!$K$39","Datasheets!$N$54","Datasheets!$K$63","Datasheets!$J$71","Datasheets!$L$93"}), "="&amp;IncompleteText))&gt;0, IncompleteText, IF(SUM(COUNTIF(INDIRECT({"Datasheets!$F$2","Datasheets!$K$17","Datasheets!$K$39","Datasheets!$N$54","Datasheets!$K$63","Datasheets!$J$71","Datasheets!$L$93"}), "="&amp;ErrorText)), ErrorText, OKText))</f>
        <v>BLANK</v>
      </c>
    </row>
    <row r="2" spans="2:8" ht="13.75" x14ac:dyDescent="0.25">
      <c r="B2" s="46" t="s">
        <v>22</v>
      </c>
      <c r="C2" s="46"/>
      <c r="D2" s="46"/>
      <c r="E2" s="46"/>
      <c r="F2" s="12" t="str">
        <f>IF(COUNTBLANK(D3:D15)&gt;0, IncompleteText, OKText)</f>
        <v>BLANK</v>
      </c>
    </row>
    <row r="3" spans="2:8" ht="13.75" x14ac:dyDescent="0.25">
      <c r="B3" s="83" t="s">
        <v>23</v>
      </c>
      <c r="C3" s="83"/>
      <c r="D3" s="84"/>
      <c r="E3" s="84"/>
    </row>
    <row r="4" spans="2:8" ht="13.75" x14ac:dyDescent="0.25">
      <c r="B4" s="83" t="s">
        <v>24</v>
      </c>
      <c r="C4" s="83"/>
      <c r="D4" s="84"/>
      <c r="E4" s="84"/>
    </row>
    <row r="5" spans="2:8" ht="13.75" x14ac:dyDescent="0.25">
      <c r="B5" s="83" t="s">
        <v>25</v>
      </c>
      <c r="C5" s="83"/>
      <c r="D5" s="20"/>
      <c r="E5" t="s">
        <v>26</v>
      </c>
    </row>
    <row r="6" spans="2:8" ht="13.75" x14ac:dyDescent="0.25">
      <c r="B6" s="83" t="s">
        <v>27</v>
      </c>
      <c r="C6" s="83"/>
      <c r="D6" s="20"/>
      <c r="E6" t="s">
        <v>13</v>
      </c>
    </row>
    <row r="7" spans="2:8" ht="13.75" x14ac:dyDescent="0.25">
      <c r="B7" s="83" t="s">
        <v>28</v>
      </c>
      <c r="C7" s="83"/>
      <c r="D7" s="20"/>
      <c r="E7" t="s">
        <v>13</v>
      </c>
    </row>
    <row r="8" spans="2:8" ht="13.75" x14ac:dyDescent="0.25">
      <c r="B8" s="83" t="s">
        <v>29</v>
      </c>
      <c r="C8" s="83"/>
      <c r="D8" s="20"/>
      <c r="E8" t="s">
        <v>13</v>
      </c>
    </row>
    <row r="9" spans="2:8" ht="13.75" x14ac:dyDescent="0.25">
      <c r="B9" s="83" t="s">
        <v>30</v>
      </c>
      <c r="C9" s="83"/>
      <c r="D9" s="20"/>
      <c r="E9" t="s">
        <v>14</v>
      </c>
    </row>
    <row r="10" spans="2:8" x14ac:dyDescent="0.25">
      <c r="B10" s="83" t="s">
        <v>31</v>
      </c>
      <c r="C10" s="83"/>
      <c r="D10" s="20"/>
      <c r="E10" t="s">
        <v>14</v>
      </c>
    </row>
    <row r="11" spans="2:8" x14ac:dyDescent="0.25">
      <c r="B11" s="83" t="s">
        <v>411</v>
      </c>
      <c r="C11" s="83"/>
      <c r="D11" s="20"/>
      <c r="E11" t="s">
        <v>14</v>
      </c>
    </row>
    <row r="12" spans="2:8" x14ac:dyDescent="0.25">
      <c r="B12" s="83" t="s">
        <v>32</v>
      </c>
      <c r="C12" s="83"/>
      <c r="D12" s="20"/>
      <c r="E12" t="s">
        <v>33</v>
      </c>
    </row>
    <row r="13" spans="2:8" x14ac:dyDescent="0.25">
      <c r="B13" s="83" t="s">
        <v>34</v>
      </c>
      <c r="C13" s="83"/>
      <c r="D13" s="54"/>
      <c r="E13" s="54"/>
    </row>
    <row r="14" spans="2:8" x14ac:dyDescent="0.25">
      <c r="B14" s="83" t="s">
        <v>35</v>
      </c>
      <c r="C14" s="85"/>
      <c r="D14" s="54"/>
      <c r="E14" s="54"/>
    </row>
    <row r="15" spans="2:8" x14ac:dyDescent="0.25">
      <c r="B15" s="83" t="s">
        <v>36</v>
      </c>
      <c r="C15" s="85"/>
      <c r="D15" s="54"/>
      <c r="E15" s="54"/>
    </row>
    <row r="16" spans="2:8" x14ac:dyDescent="0.25">
      <c r="B16" s="83" t="s">
        <v>15</v>
      </c>
      <c r="C16" s="85"/>
      <c r="D16" s="54"/>
      <c r="E16" s="54"/>
      <c r="F16" s="54"/>
      <c r="G16" s="54"/>
      <c r="H16" s="54"/>
    </row>
    <row r="17" spans="1:18" x14ac:dyDescent="0.25">
      <c r="D17" s="8"/>
    </row>
    <row r="18" spans="1:18" x14ac:dyDescent="0.25">
      <c r="B18" s="46" t="s">
        <v>37</v>
      </c>
      <c r="C18" s="46"/>
      <c r="D18" s="46"/>
      <c r="E18" s="46"/>
      <c r="F18" s="46"/>
      <c r="G18" s="46"/>
      <c r="H18" s="46"/>
      <c r="I18" s="46"/>
      <c r="J18" s="22"/>
      <c r="K18" s="12" t="str">
        <f>IF(COUNTIF(K20:K38, "="&amp;IncompleteText), IncompleteText, IF(COUNTIF(K20:K38, "="&amp;ErrorText), ErrorText, OKText))</f>
        <v>BLANK</v>
      </c>
    </row>
    <row r="19" spans="1:18" ht="29.25" customHeight="1" x14ac:dyDescent="0.3">
      <c r="B19" t="s">
        <v>38</v>
      </c>
      <c r="C19" s="17" t="s">
        <v>39</v>
      </c>
      <c r="D19" s="17" t="s">
        <v>40</v>
      </c>
      <c r="E19" s="17" t="s">
        <v>41</v>
      </c>
      <c r="F19" s="17" t="s">
        <v>42</v>
      </c>
      <c r="G19" s="17" t="s">
        <v>43</v>
      </c>
      <c r="H19" s="82" t="s">
        <v>35</v>
      </c>
      <c r="I19" s="82"/>
      <c r="J19" s="17" t="s">
        <v>44</v>
      </c>
      <c r="K19" s="24"/>
      <c r="L19" s="90" t="s">
        <v>15</v>
      </c>
      <c r="M19" s="90"/>
      <c r="N19" s="90"/>
      <c r="O19" s="90"/>
      <c r="P19" s="90"/>
      <c r="Q19" s="98" t="s">
        <v>45</v>
      </c>
      <c r="R19" s="99"/>
    </row>
    <row r="20" spans="1:18" x14ac:dyDescent="0.25">
      <c r="A20" s="2" t="str">
        <f ca="1">CONCATENATE(INDIRECT(CONCATENATE("B",ROW(A20))), " ", INDIRECT(CONCATENATE("C",ROW(A20))))</f>
        <v xml:space="preserve"> </v>
      </c>
      <c r="B20" s="3"/>
      <c r="C20" s="11"/>
      <c r="D20" s="3"/>
      <c r="E20" s="19"/>
      <c r="F20" s="3"/>
      <c r="G20" s="3"/>
      <c r="H20" s="54"/>
      <c r="I20" s="54"/>
      <c r="J20" s="21"/>
      <c r="K20" s="12" t="str">
        <f>IF(COUNTBLANK(B20:J20)=9,IncompleteText,IF(AND(COUNTBLANK(B20:J20)=1, G20&gt;=90),OKText,ErrorText))</f>
        <v>BLANK</v>
      </c>
      <c r="L20" s="54"/>
      <c r="M20" s="54"/>
      <c r="N20" s="54"/>
      <c r="O20" s="54"/>
      <c r="P20" s="54"/>
      <c r="Q20" s="92" t="s">
        <v>370</v>
      </c>
      <c r="R20" s="93"/>
    </row>
    <row r="21" spans="1:18" x14ac:dyDescent="0.25">
      <c r="A21" s="2" t="str">
        <f t="shared" ref="A21:A84" ca="1" si="0">CONCATENATE(INDIRECT(CONCATENATE("B",ROW(A21))), " ", INDIRECT(CONCATENATE("C",ROW(A21))))</f>
        <v xml:space="preserve"> </v>
      </c>
      <c r="B21" s="3"/>
      <c r="C21" s="11"/>
      <c r="D21" s="3"/>
      <c r="E21" s="3"/>
      <c r="F21" s="3"/>
      <c r="G21" s="3"/>
      <c r="H21" s="54"/>
      <c r="I21" s="54"/>
      <c r="J21" s="21"/>
      <c r="K21" s="12" t="str">
        <f t="shared" ref="K21:K38" si="1">IF(COUNTBLANK(B21:J21)=9,"",IF(AND(COUNTBLANK(B21:J21)=1, G21&gt;=90),OKText,ErrorText))</f>
        <v/>
      </c>
      <c r="L21" s="54"/>
      <c r="M21" s="54"/>
      <c r="N21" s="54"/>
      <c r="O21" s="54"/>
      <c r="P21" s="54"/>
      <c r="Q21" s="94"/>
      <c r="R21" s="95"/>
    </row>
    <row r="22" spans="1:18" x14ac:dyDescent="0.25">
      <c r="A22" s="2" t="str">
        <f t="shared" ca="1" si="0"/>
        <v xml:space="preserve"> </v>
      </c>
      <c r="B22" s="3"/>
      <c r="C22" s="11"/>
      <c r="D22" s="3"/>
      <c r="E22" s="3"/>
      <c r="F22" s="3"/>
      <c r="G22" s="3"/>
      <c r="H22" s="54"/>
      <c r="I22" s="54"/>
      <c r="J22" s="21"/>
      <c r="K22" s="12" t="str">
        <f t="shared" si="1"/>
        <v/>
      </c>
      <c r="L22" s="54"/>
      <c r="M22" s="54"/>
      <c r="N22" s="54"/>
      <c r="O22" s="54"/>
      <c r="P22" s="54"/>
      <c r="Q22" s="94"/>
      <c r="R22" s="95"/>
    </row>
    <row r="23" spans="1:18" x14ac:dyDescent="0.25">
      <c r="A23" s="2" t="str">
        <f t="shared" ca="1" si="0"/>
        <v xml:space="preserve"> </v>
      </c>
      <c r="B23" s="3"/>
      <c r="C23" s="11"/>
      <c r="D23" s="3"/>
      <c r="E23" s="3"/>
      <c r="F23" s="3"/>
      <c r="G23" s="3"/>
      <c r="H23" s="54"/>
      <c r="I23" s="54"/>
      <c r="J23" s="21"/>
      <c r="K23" s="12" t="str">
        <f t="shared" si="1"/>
        <v/>
      </c>
      <c r="L23" s="54"/>
      <c r="M23" s="54"/>
      <c r="N23" s="54"/>
      <c r="O23" s="54"/>
      <c r="P23" s="54"/>
      <c r="Q23" s="94"/>
      <c r="R23" s="95"/>
    </row>
    <row r="24" spans="1:18" x14ac:dyDescent="0.25">
      <c r="A24" s="2" t="str">
        <f t="shared" ca="1" si="0"/>
        <v xml:space="preserve"> </v>
      </c>
      <c r="B24" s="3"/>
      <c r="C24" s="11"/>
      <c r="D24" s="3"/>
      <c r="E24" s="3"/>
      <c r="F24" s="3"/>
      <c r="G24" s="3"/>
      <c r="H24" s="54"/>
      <c r="I24" s="54"/>
      <c r="J24" s="21"/>
      <c r="K24" s="12" t="str">
        <f t="shared" si="1"/>
        <v/>
      </c>
      <c r="L24" s="54"/>
      <c r="M24" s="54"/>
      <c r="N24" s="54"/>
      <c r="O24" s="54"/>
      <c r="P24" s="54"/>
      <c r="Q24" s="94"/>
      <c r="R24" s="95"/>
    </row>
    <row r="25" spans="1:18" x14ac:dyDescent="0.25">
      <c r="A25" s="2" t="str">
        <f t="shared" ca="1" si="0"/>
        <v xml:space="preserve"> </v>
      </c>
      <c r="B25" s="3"/>
      <c r="C25" s="11"/>
      <c r="D25" s="3"/>
      <c r="E25" s="3"/>
      <c r="F25" s="3"/>
      <c r="G25" s="3"/>
      <c r="H25" s="54"/>
      <c r="I25" s="54"/>
      <c r="J25" s="21"/>
      <c r="K25" s="12" t="str">
        <f t="shared" si="1"/>
        <v/>
      </c>
      <c r="L25" s="54"/>
      <c r="M25" s="54"/>
      <c r="N25" s="54"/>
      <c r="O25" s="54"/>
      <c r="P25" s="54"/>
      <c r="Q25" s="94"/>
      <c r="R25" s="95"/>
    </row>
    <row r="26" spans="1:18" x14ac:dyDescent="0.25">
      <c r="A26" s="2" t="str">
        <f t="shared" ca="1" si="0"/>
        <v xml:space="preserve"> </v>
      </c>
      <c r="B26" s="3"/>
      <c r="C26" s="11"/>
      <c r="D26" s="3"/>
      <c r="E26" s="3"/>
      <c r="F26" s="3"/>
      <c r="G26" s="3"/>
      <c r="H26" s="54"/>
      <c r="I26" s="54"/>
      <c r="J26" s="21"/>
      <c r="K26" s="12" t="str">
        <f t="shared" si="1"/>
        <v/>
      </c>
      <c r="L26" s="54"/>
      <c r="M26" s="54"/>
      <c r="N26" s="54"/>
      <c r="O26" s="54"/>
      <c r="P26" s="54"/>
      <c r="Q26" s="94"/>
      <c r="R26" s="95"/>
    </row>
    <row r="27" spans="1:18" x14ac:dyDescent="0.25">
      <c r="A27" s="2" t="str">
        <f t="shared" ca="1" si="0"/>
        <v xml:space="preserve"> </v>
      </c>
      <c r="B27" s="3"/>
      <c r="C27" s="11"/>
      <c r="D27" s="3"/>
      <c r="E27" s="3"/>
      <c r="F27" s="3"/>
      <c r="G27" s="3"/>
      <c r="H27" s="54"/>
      <c r="I27" s="54"/>
      <c r="J27" s="21"/>
      <c r="K27" s="12" t="str">
        <f t="shared" si="1"/>
        <v/>
      </c>
      <c r="L27" s="54"/>
      <c r="M27" s="54"/>
      <c r="N27" s="54"/>
      <c r="O27" s="54"/>
      <c r="P27" s="54"/>
      <c r="Q27" s="94"/>
      <c r="R27" s="95"/>
    </row>
    <row r="28" spans="1:18" x14ac:dyDescent="0.25">
      <c r="A28" s="2" t="str">
        <f t="shared" ca="1" si="0"/>
        <v xml:space="preserve"> </v>
      </c>
      <c r="B28" s="3"/>
      <c r="C28" s="11"/>
      <c r="D28" s="3"/>
      <c r="E28" s="3"/>
      <c r="F28" s="3"/>
      <c r="G28" s="3"/>
      <c r="H28" s="54"/>
      <c r="I28" s="54"/>
      <c r="J28" s="21"/>
      <c r="K28" s="12" t="str">
        <f t="shared" si="1"/>
        <v/>
      </c>
      <c r="L28" s="54"/>
      <c r="M28" s="54"/>
      <c r="N28" s="54"/>
      <c r="O28" s="54"/>
      <c r="P28" s="54"/>
      <c r="Q28" s="94"/>
      <c r="R28" s="95"/>
    </row>
    <row r="29" spans="1:18" x14ac:dyDescent="0.25">
      <c r="A29" s="2" t="str">
        <f t="shared" ca="1" si="0"/>
        <v xml:space="preserve"> </v>
      </c>
      <c r="B29" s="3"/>
      <c r="C29" s="11"/>
      <c r="D29" s="3"/>
      <c r="E29" s="3"/>
      <c r="F29" s="3"/>
      <c r="G29" s="3"/>
      <c r="H29" s="54"/>
      <c r="I29" s="54"/>
      <c r="J29" s="21"/>
      <c r="K29" s="12" t="str">
        <f t="shared" si="1"/>
        <v/>
      </c>
      <c r="L29" s="54"/>
      <c r="M29" s="54"/>
      <c r="N29" s="54"/>
      <c r="O29" s="54"/>
      <c r="P29" s="54"/>
      <c r="Q29" s="94"/>
      <c r="R29" s="95"/>
    </row>
    <row r="30" spans="1:18" x14ac:dyDescent="0.25">
      <c r="A30" s="2" t="str">
        <f t="shared" ca="1" si="0"/>
        <v xml:space="preserve"> </v>
      </c>
      <c r="B30" s="3"/>
      <c r="C30" s="11"/>
      <c r="D30" s="3"/>
      <c r="E30" s="3"/>
      <c r="F30" s="3"/>
      <c r="G30" s="3"/>
      <c r="H30" s="54"/>
      <c r="I30" s="54"/>
      <c r="J30" s="21"/>
      <c r="K30" s="12" t="str">
        <f t="shared" si="1"/>
        <v/>
      </c>
      <c r="L30" s="54"/>
      <c r="M30" s="54"/>
      <c r="N30" s="54"/>
      <c r="O30" s="54"/>
      <c r="P30" s="54"/>
      <c r="Q30" s="94"/>
      <c r="R30" s="95"/>
    </row>
    <row r="31" spans="1:18" x14ac:dyDescent="0.25">
      <c r="A31" s="2" t="str">
        <f t="shared" ca="1" si="0"/>
        <v xml:space="preserve"> </v>
      </c>
      <c r="B31" s="3"/>
      <c r="C31" s="11"/>
      <c r="D31" s="3"/>
      <c r="E31" s="3"/>
      <c r="F31" s="3"/>
      <c r="G31" s="3"/>
      <c r="H31" s="54"/>
      <c r="I31" s="54"/>
      <c r="J31" s="21"/>
      <c r="K31" s="12" t="str">
        <f t="shared" si="1"/>
        <v/>
      </c>
      <c r="L31" s="54"/>
      <c r="M31" s="54"/>
      <c r="N31" s="54"/>
      <c r="O31" s="54"/>
      <c r="P31" s="54"/>
      <c r="Q31" s="94"/>
      <c r="R31" s="95"/>
    </row>
    <row r="32" spans="1:18" x14ac:dyDescent="0.25">
      <c r="A32" s="2" t="str">
        <f t="shared" ca="1" si="0"/>
        <v xml:space="preserve"> </v>
      </c>
      <c r="B32" s="3"/>
      <c r="C32" s="11"/>
      <c r="D32" s="3"/>
      <c r="E32" s="3"/>
      <c r="F32" s="3"/>
      <c r="G32" s="3"/>
      <c r="H32" s="54"/>
      <c r="I32" s="54"/>
      <c r="J32" s="21"/>
      <c r="K32" s="12" t="str">
        <f t="shared" si="1"/>
        <v/>
      </c>
      <c r="L32" s="54"/>
      <c r="M32" s="54"/>
      <c r="N32" s="54"/>
      <c r="O32" s="54"/>
      <c r="P32" s="54"/>
      <c r="Q32" s="94"/>
      <c r="R32" s="95"/>
    </row>
    <row r="33" spans="1:18" x14ac:dyDescent="0.25">
      <c r="A33" s="2" t="str">
        <f t="shared" ca="1" si="0"/>
        <v xml:space="preserve"> </v>
      </c>
      <c r="B33" s="3"/>
      <c r="C33" s="11"/>
      <c r="D33" s="3"/>
      <c r="E33" s="3"/>
      <c r="F33" s="3"/>
      <c r="G33" s="3"/>
      <c r="H33" s="54"/>
      <c r="I33" s="54"/>
      <c r="J33" s="21"/>
      <c r="K33" s="12" t="str">
        <f t="shared" si="1"/>
        <v/>
      </c>
      <c r="L33" s="54"/>
      <c r="M33" s="54"/>
      <c r="N33" s="54"/>
      <c r="O33" s="54"/>
      <c r="P33" s="54"/>
      <c r="Q33" s="94"/>
      <c r="R33" s="95"/>
    </row>
    <row r="34" spans="1:18" x14ac:dyDescent="0.25">
      <c r="A34" s="2" t="str">
        <f t="shared" ca="1" si="0"/>
        <v xml:space="preserve"> </v>
      </c>
      <c r="B34" s="3"/>
      <c r="C34" s="11"/>
      <c r="D34" s="3"/>
      <c r="E34" s="3"/>
      <c r="F34" s="3"/>
      <c r="G34" s="3"/>
      <c r="H34" s="54"/>
      <c r="I34" s="54"/>
      <c r="J34" s="21"/>
      <c r="K34" s="12" t="str">
        <f t="shared" si="1"/>
        <v/>
      </c>
      <c r="L34" s="54"/>
      <c r="M34" s="54"/>
      <c r="N34" s="54"/>
      <c r="O34" s="54"/>
      <c r="P34" s="54"/>
      <c r="Q34" s="94"/>
      <c r="R34" s="95"/>
    </row>
    <row r="35" spans="1:18" x14ac:dyDescent="0.25">
      <c r="A35" s="2" t="str">
        <f t="shared" ca="1" si="0"/>
        <v xml:space="preserve"> </v>
      </c>
      <c r="B35" s="3"/>
      <c r="C35" s="11"/>
      <c r="D35" s="3"/>
      <c r="E35" s="3"/>
      <c r="F35" s="3"/>
      <c r="G35" s="3"/>
      <c r="H35" s="54"/>
      <c r="I35" s="54"/>
      <c r="J35" s="21"/>
      <c r="K35" s="12" t="str">
        <f t="shared" si="1"/>
        <v/>
      </c>
      <c r="L35" s="54"/>
      <c r="M35" s="54"/>
      <c r="N35" s="54"/>
      <c r="O35" s="54"/>
      <c r="P35" s="54"/>
      <c r="Q35" s="94"/>
      <c r="R35" s="95"/>
    </row>
    <row r="36" spans="1:18" x14ac:dyDescent="0.25">
      <c r="A36" s="2" t="str">
        <f t="shared" ca="1" si="0"/>
        <v xml:space="preserve"> </v>
      </c>
      <c r="B36" s="3"/>
      <c r="C36" s="11"/>
      <c r="D36" s="3"/>
      <c r="E36" s="3"/>
      <c r="F36" s="3"/>
      <c r="G36" s="3"/>
      <c r="H36" s="54"/>
      <c r="I36" s="54"/>
      <c r="J36" s="21"/>
      <c r="K36" s="12" t="str">
        <f t="shared" si="1"/>
        <v/>
      </c>
      <c r="L36" s="54"/>
      <c r="M36" s="54"/>
      <c r="N36" s="54"/>
      <c r="O36" s="54"/>
      <c r="P36" s="54"/>
      <c r="Q36" s="94"/>
      <c r="R36" s="95"/>
    </row>
    <row r="37" spans="1:18" x14ac:dyDescent="0.25">
      <c r="A37" s="2" t="str">
        <f t="shared" ca="1" si="0"/>
        <v xml:space="preserve"> </v>
      </c>
      <c r="B37" s="3"/>
      <c r="C37" s="11"/>
      <c r="D37" s="3"/>
      <c r="E37" s="3"/>
      <c r="F37" s="3"/>
      <c r="G37" s="3"/>
      <c r="H37" s="54"/>
      <c r="I37" s="54"/>
      <c r="J37" s="21"/>
      <c r="K37" s="12" t="str">
        <f t="shared" si="1"/>
        <v/>
      </c>
      <c r="L37" s="54"/>
      <c r="M37" s="54"/>
      <c r="N37" s="54"/>
      <c r="O37" s="54"/>
      <c r="P37" s="54"/>
      <c r="Q37" s="94"/>
      <c r="R37" s="95"/>
    </row>
    <row r="38" spans="1:18" x14ac:dyDescent="0.25">
      <c r="A38" s="2" t="str">
        <f t="shared" ca="1" si="0"/>
        <v xml:space="preserve"> </v>
      </c>
      <c r="B38" s="3"/>
      <c r="C38" s="11"/>
      <c r="D38" s="3"/>
      <c r="E38" s="3"/>
      <c r="F38" s="3"/>
      <c r="G38" s="3"/>
      <c r="H38" s="54"/>
      <c r="I38" s="54"/>
      <c r="J38" s="21"/>
      <c r="K38" s="12" t="str">
        <f t="shared" si="1"/>
        <v/>
      </c>
      <c r="L38" s="54"/>
      <c r="M38" s="54"/>
      <c r="N38" s="54"/>
      <c r="O38" s="54"/>
      <c r="P38" s="54"/>
      <c r="Q38" s="96"/>
      <c r="R38" s="97"/>
    </row>
    <row r="39" spans="1:18" x14ac:dyDescent="0.25">
      <c r="A39" s="2" t="str">
        <f t="shared" ca="1" si="0"/>
        <v xml:space="preserve"> </v>
      </c>
    </row>
    <row r="40" spans="1:18" x14ac:dyDescent="0.25">
      <c r="A40" s="2" t="str">
        <f t="shared" ca="1" si="0"/>
        <v xml:space="preserve">Fuses </v>
      </c>
      <c r="B40" s="46" t="s">
        <v>46</v>
      </c>
      <c r="C40" s="46"/>
      <c r="D40" s="46"/>
      <c r="E40" s="46"/>
      <c r="F40" s="46"/>
      <c r="G40" s="46"/>
      <c r="H40" s="46"/>
      <c r="I40" s="46"/>
      <c r="J40" s="22"/>
      <c r="K40" s="12" t="str">
        <f>IF(COUNTIF(K42:K53, "="&amp;IncompleteText), IncompleteText, IF(COUNTIF(K42:K53, "="&amp;ErrorText), ErrorText, OKText))</f>
        <v>BLANK</v>
      </c>
    </row>
    <row r="41" spans="1:18" ht="27" x14ac:dyDescent="0.25">
      <c r="A41" s="2" t="str">
        <f t="shared" ca="1" si="0"/>
        <v>Manufacturer Part Number</v>
      </c>
      <c r="B41" t="s">
        <v>38</v>
      </c>
      <c r="C41" s="17" t="s">
        <v>39</v>
      </c>
      <c r="D41" s="17" t="s">
        <v>47</v>
      </c>
      <c r="E41" s="24" t="s">
        <v>48</v>
      </c>
      <c r="F41" s="17" t="s">
        <v>49</v>
      </c>
      <c r="G41" s="17" t="s">
        <v>50</v>
      </c>
      <c r="H41" s="82" t="s">
        <v>35</v>
      </c>
      <c r="I41" s="82"/>
      <c r="J41" s="17" t="s">
        <v>44</v>
      </c>
      <c r="K41" s="24"/>
      <c r="L41" s="90" t="s">
        <v>15</v>
      </c>
      <c r="M41" s="90"/>
      <c r="N41" s="90"/>
      <c r="O41" s="90"/>
      <c r="P41" s="90"/>
      <c r="Q41" s="98" t="s">
        <v>45</v>
      </c>
      <c r="R41" s="99"/>
    </row>
    <row r="42" spans="1:18" x14ac:dyDescent="0.25">
      <c r="A42" s="2" t="str">
        <f t="shared" ca="1" si="0"/>
        <v xml:space="preserve"> </v>
      </c>
      <c r="B42" s="3"/>
      <c r="C42" s="11"/>
      <c r="D42" s="3"/>
      <c r="E42" s="3"/>
      <c r="F42" s="3"/>
      <c r="G42" s="16"/>
      <c r="H42" s="54"/>
      <c r="I42" s="54"/>
      <c r="J42" s="21"/>
      <c r="K42" s="12" t="str">
        <f>IF(COUNTBLANK(B42:J42)=9,IncompleteText,IF(COUNTBLANK(B42:J42)=1,OKText,ErrorText))</f>
        <v>BLANK</v>
      </c>
      <c r="L42" s="54"/>
      <c r="M42" s="54"/>
      <c r="N42" s="54"/>
      <c r="O42" s="54"/>
      <c r="P42" s="54"/>
      <c r="Q42" s="92" t="s">
        <v>371</v>
      </c>
      <c r="R42" s="93"/>
    </row>
    <row r="43" spans="1:18" x14ac:dyDescent="0.25">
      <c r="A43" s="2" t="str">
        <f t="shared" ca="1" si="0"/>
        <v xml:space="preserve"> </v>
      </c>
      <c r="B43" s="3"/>
      <c r="C43" s="11"/>
      <c r="D43" s="3"/>
      <c r="E43" s="3"/>
      <c r="F43" s="3"/>
      <c r="G43" s="3"/>
      <c r="H43" s="54"/>
      <c r="I43" s="54"/>
      <c r="J43" s="21"/>
      <c r="K43" s="12" t="str">
        <f t="shared" ref="K43:K53" si="2">IF(COUNTBLANK(B43:J43)=9,"",IF(COUNTBLANK(B43:J43)=1,OKText,ErrorText))</f>
        <v/>
      </c>
      <c r="L43" s="54"/>
      <c r="M43" s="54"/>
      <c r="N43" s="54"/>
      <c r="O43" s="54"/>
      <c r="P43" s="54"/>
      <c r="Q43" s="94"/>
      <c r="R43" s="95"/>
    </row>
    <row r="44" spans="1:18" x14ac:dyDescent="0.25">
      <c r="A44" s="2" t="str">
        <f t="shared" ca="1" si="0"/>
        <v xml:space="preserve"> </v>
      </c>
      <c r="B44" s="3"/>
      <c r="C44" s="11"/>
      <c r="D44" s="3"/>
      <c r="E44" s="3"/>
      <c r="F44" s="3"/>
      <c r="G44" s="3"/>
      <c r="H44" s="54"/>
      <c r="I44" s="54"/>
      <c r="J44" s="21"/>
      <c r="K44" s="12" t="str">
        <f t="shared" si="2"/>
        <v/>
      </c>
      <c r="L44" s="54"/>
      <c r="M44" s="54"/>
      <c r="N44" s="54"/>
      <c r="O44" s="54"/>
      <c r="P44" s="54"/>
      <c r="Q44" s="94"/>
      <c r="R44" s="95"/>
    </row>
    <row r="45" spans="1:18" x14ac:dyDescent="0.25">
      <c r="A45" s="2" t="str">
        <f t="shared" ca="1" si="0"/>
        <v xml:space="preserve"> </v>
      </c>
      <c r="B45" s="3"/>
      <c r="C45" s="11"/>
      <c r="D45" s="3"/>
      <c r="E45" s="3"/>
      <c r="F45" s="3"/>
      <c r="G45" s="3"/>
      <c r="H45" s="54"/>
      <c r="I45" s="54"/>
      <c r="J45" s="21"/>
      <c r="K45" s="12" t="str">
        <f t="shared" si="2"/>
        <v/>
      </c>
      <c r="L45" s="54"/>
      <c r="M45" s="54"/>
      <c r="N45" s="54"/>
      <c r="O45" s="54"/>
      <c r="P45" s="54"/>
      <c r="Q45" s="94"/>
      <c r="R45" s="95"/>
    </row>
    <row r="46" spans="1:18" x14ac:dyDescent="0.25">
      <c r="A46" s="2" t="str">
        <f t="shared" ca="1" si="0"/>
        <v xml:space="preserve"> </v>
      </c>
      <c r="B46" s="3"/>
      <c r="C46" s="11"/>
      <c r="D46" s="3"/>
      <c r="E46" s="3"/>
      <c r="F46" s="3"/>
      <c r="G46" s="3"/>
      <c r="H46" s="54"/>
      <c r="I46" s="54"/>
      <c r="J46" s="21"/>
      <c r="K46" s="12" t="str">
        <f t="shared" si="2"/>
        <v/>
      </c>
      <c r="L46" s="54"/>
      <c r="M46" s="54"/>
      <c r="N46" s="54"/>
      <c r="O46" s="54"/>
      <c r="P46" s="54"/>
      <c r="Q46" s="94"/>
      <c r="R46" s="95"/>
    </row>
    <row r="47" spans="1:18" x14ac:dyDescent="0.25">
      <c r="A47" s="2" t="str">
        <f t="shared" ca="1" si="0"/>
        <v xml:space="preserve"> </v>
      </c>
      <c r="B47" s="3"/>
      <c r="C47" s="11"/>
      <c r="D47" s="3"/>
      <c r="E47" s="3"/>
      <c r="F47" s="3"/>
      <c r="G47" s="3"/>
      <c r="H47" s="54"/>
      <c r="I47" s="54"/>
      <c r="J47" s="21"/>
      <c r="K47" s="12" t="str">
        <f t="shared" si="2"/>
        <v/>
      </c>
      <c r="L47" s="54"/>
      <c r="M47" s="54"/>
      <c r="N47" s="54"/>
      <c r="O47" s="54"/>
      <c r="P47" s="54"/>
      <c r="Q47" s="94"/>
      <c r="R47" s="95"/>
    </row>
    <row r="48" spans="1:18" x14ac:dyDescent="0.25">
      <c r="A48" s="2" t="str">
        <f t="shared" ca="1" si="0"/>
        <v xml:space="preserve"> </v>
      </c>
      <c r="B48" s="3"/>
      <c r="C48" s="11"/>
      <c r="D48" s="3"/>
      <c r="E48" s="3"/>
      <c r="F48" s="3"/>
      <c r="G48" s="3"/>
      <c r="H48" s="54"/>
      <c r="I48" s="54"/>
      <c r="J48" s="21"/>
      <c r="K48" s="12" t="str">
        <f t="shared" si="2"/>
        <v/>
      </c>
      <c r="L48" s="54"/>
      <c r="M48" s="54"/>
      <c r="N48" s="54"/>
      <c r="O48" s="54"/>
      <c r="P48" s="54"/>
      <c r="Q48" s="94"/>
      <c r="R48" s="95"/>
    </row>
    <row r="49" spans="1:21" x14ac:dyDescent="0.25">
      <c r="A49" s="2" t="str">
        <f t="shared" ca="1" si="0"/>
        <v xml:space="preserve"> </v>
      </c>
      <c r="B49" s="3"/>
      <c r="C49" s="11"/>
      <c r="D49" s="3"/>
      <c r="E49" s="3"/>
      <c r="F49" s="3"/>
      <c r="G49" s="3"/>
      <c r="H49" s="54"/>
      <c r="I49" s="54"/>
      <c r="J49" s="21"/>
      <c r="K49" s="12" t="str">
        <f t="shared" si="2"/>
        <v/>
      </c>
      <c r="L49" s="54"/>
      <c r="M49" s="54"/>
      <c r="N49" s="54"/>
      <c r="O49" s="54"/>
      <c r="P49" s="54"/>
      <c r="Q49" s="94"/>
      <c r="R49" s="95"/>
    </row>
    <row r="50" spans="1:21" x14ac:dyDescent="0.25">
      <c r="A50" s="2" t="str">
        <f t="shared" ca="1" si="0"/>
        <v xml:space="preserve"> </v>
      </c>
      <c r="B50" s="3"/>
      <c r="C50" s="11"/>
      <c r="D50" s="3"/>
      <c r="E50" s="3"/>
      <c r="F50" s="3"/>
      <c r="G50" s="3"/>
      <c r="H50" s="54"/>
      <c r="I50" s="54"/>
      <c r="J50" s="21"/>
      <c r="K50" s="12" t="str">
        <f t="shared" si="2"/>
        <v/>
      </c>
      <c r="L50" s="54"/>
      <c r="M50" s="54"/>
      <c r="N50" s="54"/>
      <c r="O50" s="54"/>
      <c r="P50" s="54"/>
      <c r="Q50" s="94"/>
      <c r="R50" s="95"/>
    </row>
    <row r="51" spans="1:21" x14ac:dyDescent="0.25">
      <c r="A51" s="2" t="str">
        <f t="shared" ca="1" si="0"/>
        <v xml:space="preserve"> </v>
      </c>
      <c r="B51" s="3"/>
      <c r="C51" s="11"/>
      <c r="D51" s="3"/>
      <c r="E51" s="3"/>
      <c r="F51" s="3"/>
      <c r="G51" s="3"/>
      <c r="H51" s="54"/>
      <c r="I51" s="54"/>
      <c r="J51" s="21"/>
      <c r="K51" s="12" t="str">
        <f t="shared" si="2"/>
        <v/>
      </c>
      <c r="L51" s="54"/>
      <c r="M51" s="54"/>
      <c r="N51" s="54"/>
      <c r="O51" s="54"/>
      <c r="P51" s="54"/>
      <c r="Q51" s="94"/>
      <c r="R51" s="95"/>
    </row>
    <row r="52" spans="1:21" x14ac:dyDescent="0.25">
      <c r="A52" s="2" t="str">
        <f t="shared" ca="1" si="0"/>
        <v xml:space="preserve"> </v>
      </c>
      <c r="B52" s="3"/>
      <c r="C52" s="11"/>
      <c r="D52" s="3"/>
      <c r="E52" s="3"/>
      <c r="F52" s="3"/>
      <c r="G52" s="3"/>
      <c r="H52" s="54"/>
      <c r="I52" s="54"/>
      <c r="J52" s="21"/>
      <c r="K52" s="12" t="str">
        <f t="shared" si="2"/>
        <v/>
      </c>
      <c r="L52" s="54"/>
      <c r="M52" s="54"/>
      <c r="N52" s="54"/>
      <c r="O52" s="54"/>
      <c r="P52" s="54"/>
      <c r="Q52" s="94"/>
      <c r="R52" s="95"/>
    </row>
    <row r="53" spans="1:21" x14ac:dyDescent="0.25">
      <c r="A53" s="2" t="str">
        <f t="shared" ca="1" si="0"/>
        <v xml:space="preserve"> </v>
      </c>
      <c r="B53" s="3"/>
      <c r="C53" s="11"/>
      <c r="D53" s="3"/>
      <c r="E53" s="3"/>
      <c r="F53" s="3"/>
      <c r="G53" s="3"/>
      <c r="H53" s="54"/>
      <c r="I53" s="54"/>
      <c r="J53" s="21"/>
      <c r="K53" s="12" t="str">
        <f t="shared" si="2"/>
        <v/>
      </c>
      <c r="L53" s="54"/>
      <c r="M53" s="54"/>
      <c r="N53" s="54"/>
      <c r="O53" s="54"/>
      <c r="P53" s="54"/>
      <c r="Q53" s="96"/>
      <c r="R53" s="97"/>
    </row>
    <row r="54" spans="1:21" x14ac:dyDescent="0.25">
      <c r="A54" s="2" t="str">
        <f t="shared" ca="1" si="0"/>
        <v xml:space="preserve"> </v>
      </c>
    </row>
    <row r="55" spans="1:21" x14ac:dyDescent="0.25">
      <c r="A55" s="2" t="str">
        <f t="shared" ca="1" si="0"/>
        <v xml:space="preserve">Resistors </v>
      </c>
      <c r="B55" s="46" t="s">
        <v>51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22"/>
      <c r="N55" s="12" t="str">
        <f>IF(COUNTIF(N57:N62, "="&amp;IncompleteText), IncompleteText, IF(COUNTIF(N57:N62, "="&amp;ErrorText), ErrorText, OKText))</f>
        <v>BLANK</v>
      </c>
    </row>
    <row r="56" spans="1:21" ht="41.5" x14ac:dyDescent="0.35">
      <c r="A56" s="2" t="str">
        <f t="shared" ca="1" si="0"/>
        <v>Manufacturer Part Number</v>
      </c>
      <c r="B56" t="s">
        <v>38</v>
      </c>
      <c r="C56" s="17" t="s">
        <v>39</v>
      </c>
      <c r="D56" s="17" t="s">
        <v>47</v>
      </c>
      <c r="E56" s="17" t="s">
        <v>261</v>
      </c>
      <c r="F56" s="17" t="s">
        <v>52</v>
      </c>
      <c r="G56" s="17" t="s">
        <v>53</v>
      </c>
      <c r="H56" s="91" t="s">
        <v>54</v>
      </c>
      <c r="I56" s="90"/>
      <c r="J56" s="90"/>
      <c r="K56" s="82" t="s">
        <v>35</v>
      </c>
      <c r="L56" s="82"/>
      <c r="M56" s="17" t="s">
        <v>44</v>
      </c>
      <c r="N56" s="24"/>
      <c r="O56" s="91" t="s">
        <v>324</v>
      </c>
      <c r="P56" s="90"/>
      <c r="Q56" s="90"/>
      <c r="R56" s="90"/>
      <c r="S56" s="90"/>
      <c r="T56" s="98" t="s">
        <v>45</v>
      </c>
      <c r="U56" s="99"/>
    </row>
    <row r="57" spans="1:21" x14ac:dyDescent="0.25">
      <c r="A57" s="2" t="str">
        <f t="shared" ca="1" si="0"/>
        <v xml:space="preserve"> </v>
      </c>
      <c r="B57" s="11"/>
      <c r="C57" s="11"/>
      <c r="D57" s="20"/>
      <c r="E57" s="20"/>
      <c r="F57" s="20"/>
      <c r="G57" s="20"/>
      <c r="H57" s="86"/>
      <c r="I57" s="86"/>
      <c r="J57" s="86"/>
      <c r="K57" s="54"/>
      <c r="L57" s="54"/>
      <c r="M57" s="21"/>
      <c r="N57" s="12" t="str">
        <f>IF(COUNTBLANK(B57:M57)=12,IncompleteText,IF(COUNTBLANK(B57:M57)=3,OKText,ErrorText))</f>
        <v>BLANK</v>
      </c>
      <c r="O57" s="54"/>
      <c r="P57" s="54"/>
      <c r="Q57" s="54"/>
      <c r="R57" s="54"/>
      <c r="S57" s="54"/>
      <c r="T57" s="92" t="s">
        <v>262</v>
      </c>
      <c r="U57" s="93"/>
    </row>
    <row r="58" spans="1:21" ht="13.65" customHeight="1" x14ac:dyDescent="0.25">
      <c r="A58" s="2" t="str">
        <f t="shared" ca="1" si="0"/>
        <v xml:space="preserve"> </v>
      </c>
      <c r="B58" s="3"/>
      <c r="C58" s="11"/>
      <c r="D58" s="20"/>
      <c r="E58" s="20"/>
      <c r="F58" s="20"/>
      <c r="G58" s="20"/>
      <c r="H58" s="86"/>
      <c r="I58" s="86"/>
      <c r="J58" s="86"/>
      <c r="K58" s="54"/>
      <c r="L58" s="54"/>
      <c r="M58" s="21"/>
      <c r="N58" s="12" t="str">
        <f>IF(COUNTBLANK(B58:M58)=12,"",IF(COUNTBLANK(B58:M58)=3,OKText,ErrorText))</f>
        <v/>
      </c>
      <c r="O58" s="54"/>
      <c r="P58" s="54"/>
      <c r="Q58" s="54"/>
      <c r="R58" s="54"/>
      <c r="S58" s="54"/>
      <c r="T58" s="94"/>
      <c r="U58" s="95"/>
    </row>
    <row r="59" spans="1:21" x14ac:dyDescent="0.25">
      <c r="A59" s="2" t="str">
        <f t="shared" ca="1" si="0"/>
        <v xml:space="preserve"> </v>
      </c>
      <c r="B59" s="3"/>
      <c r="C59" s="11"/>
      <c r="D59" s="20"/>
      <c r="E59" s="20"/>
      <c r="F59" s="20"/>
      <c r="G59" s="20"/>
      <c r="H59" s="87"/>
      <c r="I59" s="89"/>
      <c r="J59" s="88"/>
      <c r="K59" s="54"/>
      <c r="L59" s="54"/>
      <c r="M59" s="21"/>
      <c r="N59" s="12" t="str">
        <f>IF(COUNTBLANK(B59:M59)=12,"",IF(COUNTBLANK(B59:M59)=3,OKText,ErrorText))</f>
        <v/>
      </c>
      <c r="O59" s="54"/>
      <c r="P59" s="54"/>
      <c r="Q59" s="54"/>
      <c r="R59" s="54"/>
      <c r="S59" s="54"/>
      <c r="T59" s="94"/>
      <c r="U59" s="95"/>
    </row>
    <row r="60" spans="1:21" ht="13.65" customHeight="1" x14ac:dyDescent="0.25">
      <c r="A60" s="2" t="str">
        <f t="shared" ca="1" si="0"/>
        <v xml:space="preserve"> </v>
      </c>
      <c r="B60" s="3"/>
      <c r="C60" s="11"/>
      <c r="D60" s="20"/>
      <c r="E60" s="20"/>
      <c r="F60" s="20"/>
      <c r="G60" s="20"/>
      <c r="H60" s="87"/>
      <c r="I60" s="89"/>
      <c r="J60" s="88"/>
      <c r="K60" s="54"/>
      <c r="L60" s="54"/>
      <c r="M60" s="21"/>
      <c r="N60" s="12" t="str">
        <f>IF(COUNTBLANK(B60:M60)=12,"",IF(COUNTBLANK(B60:M60)=3,OKText,ErrorText))</f>
        <v/>
      </c>
      <c r="O60" s="54"/>
      <c r="P60" s="54"/>
      <c r="Q60" s="54"/>
      <c r="R60" s="54"/>
      <c r="S60" s="54"/>
      <c r="T60" s="94"/>
      <c r="U60" s="95"/>
    </row>
    <row r="61" spans="1:21" x14ac:dyDescent="0.25">
      <c r="A61" s="2" t="str">
        <f t="shared" ca="1" si="0"/>
        <v xml:space="preserve"> </v>
      </c>
      <c r="B61" s="3"/>
      <c r="C61" s="11"/>
      <c r="D61" s="20"/>
      <c r="E61" s="20"/>
      <c r="F61" s="20"/>
      <c r="G61" s="20"/>
      <c r="H61" s="86"/>
      <c r="I61" s="86"/>
      <c r="J61" s="86"/>
      <c r="K61" s="54"/>
      <c r="L61" s="54"/>
      <c r="M61" s="21"/>
      <c r="N61" s="12" t="str">
        <f>IF(COUNTBLANK(B61:M61)=12,"",IF(COUNTBLANK(B61:M61)=3,OKText,ErrorText))</f>
        <v/>
      </c>
      <c r="O61" s="54"/>
      <c r="P61" s="54"/>
      <c r="Q61" s="54"/>
      <c r="R61" s="54"/>
      <c r="S61" s="54"/>
      <c r="T61" s="94"/>
      <c r="U61" s="95"/>
    </row>
    <row r="62" spans="1:21" ht="13.65" customHeight="1" x14ac:dyDescent="0.25">
      <c r="A62" s="2" t="str">
        <f t="shared" ca="1" si="0"/>
        <v xml:space="preserve"> </v>
      </c>
      <c r="B62" s="3"/>
      <c r="C62" s="11"/>
      <c r="D62" s="20"/>
      <c r="E62" s="20"/>
      <c r="F62" s="20"/>
      <c r="G62" s="20"/>
      <c r="H62" s="86"/>
      <c r="I62" s="86"/>
      <c r="J62" s="86"/>
      <c r="K62" s="54"/>
      <c r="L62" s="54"/>
      <c r="M62" s="21"/>
      <c r="N62" s="12" t="str">
        <f>IF(COUNTBLANK(B62:M62)=12,"",IF(COUNTBLANK(B62:M62)=3,OKText,ErrorText))</f>
        <v/>
      </c>
      <c r="O62" s="54"/>
      <c r="P62" s="54"/>
      <c r="Q62" s="54"/>
      <c r="R62" s="54"/>
      <c r="S62" s="54"/>
      <c r="T62" s="96"/>
      <c r="U62" s="97"/>
    </row>
    <row r="63" spans="1:21" x14ac:dyDescent="0.25">
      <c r="A63" s="2" t="str">
        <f t="shared" ca="1" si="0"/>
        <v xml:space="preserve"> </v>
      </c>
      <c r="N63" s="9"/>
      <c r="O63" s="9"/>
      <c r="P63" s="9"/>
      <c r="Q63" s="9"/>
      <c r="R63" s="9"/>
    </row>
    <row r="64" spans="1:21" x14ac:dyDescent="0.25">
      <c r="A64" s="2" t="str">
        <f t="shared" ca="1" si="0"/>
        <v xml:space="preserve">Contactors/Relays </v>
      </c>
      <c r="B64" s="46" t="s">
        <v>55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12" t="str">
        <f>IF(COUNTIF(M66:M70, "="&amp;IncompleteText), IncompleteText, IF(COUNTIF(M66:M70, "="&amp;ErrorText), ErrorText, OKText))</f>
        <v>BLANK</v>
      </c>
    </row>
    <row r="65" spans="1:20" ht="54" x14ac:dyDescent="0.25">
      <c r="A65" s="2" t="str">
        <f t="shared" ca="1" si="0"/>
        <v>Manufacturer Part Number</v>
      </c>
      <c r="B65" t="s">
        <v>38</v>
      </c>
      <c r="C65" s="17" t="s">
        <v>39</v>
      </c>
      <c r="D65" s="17" t="s">
        <v>56</v>
      </c>
      <c r="E65" s="33" t="s">
        <v>57</v>
      </c>
      <c r="F65" s="17" t="s">
        <v>58</v>
      </c>
      <c r="G65" s="82" t="s">
        <v>334</v>
      </c>
      <c r="H65" s="82"/>
      <c r="I65" s="17" t="s">
        <v>258</v>
      </c>
      <c r="J65" s="82" t="s">
        <v>35</v>
      </c>
      <c r="K65" s="82"/>
      <c r="L65" s="17" t="s">
        <v>44</v>
      </c>
      <c r="M65" s="24"/>
      <c r="N65" s="90" t="s">
        <v>15</v>
      </c>
      <c r="O65" s="90"/>
      <c r="P65" s="90"/>
      <c r="Q65" s="90"/>
      <c r="R65" s="90"/>
      <c r="S65" s="98" t="s">
        <v>45</v>
      </c>
      <c r="T65" s="99"/>
    </row>
    <row r="66" spans="1:20" x14ac:dyDescent="0.25">
      <c r="A66" s="2" t="str">
        <f t="shared" ca="1" si="0"/>
        <v xml:space="preserve"> </v>
      </c>
      <c r="B66" s="3"/>
      <c r="C66" s="11"/>
      <c r="D66" s="3"/>
      <c r="E66" s="19"/>
      <c r="F66" s="3"/>
      <c r="G66" s="87"/>
      <c r="H66" s="88"/>
      <c r="I66" s="3"/>
      <c r="J66" s="54"/>
      <c r="K66" s="54"/>
      <c r="L66" s="21"/>
      <c r="M66" s="12" t="str">
        <f>IF(COUNTBLANK(B66:L66)=11,IncompleteText,IF(COUNTBLANK(B66:L66)=2,OKText,ErrorText))</f>
        <v>BLANK</v>
      </c>
      <c r="N66" s="54"/>
      <c r="O66" s="54"/>
      <c r="P66" s="54"/>
      <c r="Q66" s="54"/>
      <c r="R66" s="54"/>
      <c r="S66" s="92" t="s">
        <v>263</v>
      </c>
      <c r="T66" s="93"/>
    </row>
    <row r="67" spans="1:20" x14ac:dyDescent="0.25">
      <c r="A67" s="2" t="str">
        <f t="shared" ca="1" si="0"/>
        <v xml:space="preserve"> </v>
      </c>
      <c r="B67" s="3"/>
      <c r="C67" s="11"/>
      <c r="D67" s="3"/>
      <c r="E67" s="3"/>
      <c r="F67" s="3"/>
      <c r="G67" s="87"/>
      <c r="H67" s="88"/>
      <c r="I67" s="3"/>
      <c r="J67" s="54"/>
      <c r="K67" s="54"/>
      <c r="L67" s="21"/>
      <c r="M67" s="12" t="str">
        <f>IF(COUNTBLANK(B67:L67)=11,"",IF(COUNTBLANK(B67:L67)=2,OKText,ErrorText))</f>
        <v/>
      </c>
      <c r="N67" s="54"/>
      <c r="O67" s="54"/>
      <c r="P67" s="54"/>
      <c r="Q67" s="54"/>
      <c r="R67" s="54"/>
      <c r="S67" s="94"/>
      <c r="T67" s="95"/>
    </row>
    <row r="68" spans="1:20" x14ac:dyDescent="0.25">
      <c r="A68" s="2" t="str">
        <f t="shared" ca="1" si="0"/>
        <v xml:space="preserve"> </v>
      </c>
      <c r="B68" s="3"/>
      <c r="C68" s="11"/>
      <c r="D68" s="3"/>
      <c r="E68" s="3"/>
      <c r="F68" s="3"/>
      <c r="G68" s="87"/>
      <c r="H68" s="88"/>
      <c r="I68" s="3"/>
      <c r="J68" s="54"/>
      <c r="K68" s="54"/>
      <c r="L68" s="21"/>
      <c r="M68" s="12" t="str">
        <f>IF(COUNTBLANK(B68:L68)=11,"",IF(COUNTBLANK(B68:L68)=2,OKText,ErrorText))</f>
        <v/>
      </c>
      <c r="N68" s="54"/>
      <c r="O68" s="54"/>
      <c r="P68" s="54"/>
      <c r="Q68" s="54"/>
      <c r="R68" s="54"/>
      <c r="S68" s="94"/>
      <c r="T68" s="95"/>
    </row>
    <row r="69" spans="1:20" x14ac:dyDescent="0.25">
      <c r="A69" s="2" t="str">
        <f t="shared" ca="1" si="0"/>
        <v xml:space="preserve"> </v>
      </c>
      <c r="B69" s="3"/>
      <c r="C69" s="11"/>
      <c r="D69" s="3"/>
      <c r="E69" s="3"/>
      <c r="F69" s="3"/>
      <c r="G69" s="87"/>
      <c r="H69" s="88"/>
      <c r="I69" s="3"/>
      <c r="J69" s="54"/>
      <c r="K69" s="54"/>
      <c r="L69" s="21"/>
      <c r="M69" s="12" t="str">
        <f>IF(COUNTBLANK(B69:L69)=11,"",IF(COUNTBLANK(B69:L69)=2,OKText,ErrorText))</f>
        <v/>
      </c>
      <c r="N69" s="54"/>
      <c r="O69" s="54"/>
      <c r="P69" s="54"/>
      <c r="Q69" s="54"/>
      <c r="R69" s="54"/>
      <c r="S69" s="94"/>
      <c r="T69" s="95"/>
    </row>
    <row r="70" spans="1:20" x14ac:dyDescent="0.25">
      <c r="A70" s="2" t="str">
        <f t="shared" ca="1" si="0"/>
        <v xml:space="preserve"> </v>
      </c>
      <c r="B70" s="3"/>
      <c r="C70" s="11"/>
      <c r="D70" s="3"/>
      <c r="E70" s="3"/>
      <c r="F70" s="3"/>
      <c r="G70" s="87"/>
      <c r="H70" s="88"/>
      <c r="I70" s="3"/>
      <c r="J70" s="54"/>
      <c r="K70" s="54"/>
      <c r="L70" s="21"/>
      <c r="M70" s="12" t="str">
        <f>IF(COUNTBLANK(B70:L70)=11,"",IF(COUNTBLANK(B70:L70)=2,OKText,ErrorText))</f>
        <v/>
      </c>
      <c r="N70" s="54"/>
      <c r="O70" s="54"/>
      <c r="P70" s="54"/>
      <c r="Q70" s="54"/>
      <c r="R70" s="54"/>
      <c r="S70" s="96"/>
      <c r="T70" s="97"/>
    </row>
    <row r="71" spans="1:20" x14ac:dyDescent="0.25">
      <c r="A71" s="2" t="str">
        <f t="shared" ca="1" si="0"/>
        <v xml:space="preserve"> </v>
      </c>
    </row>
    <row r="72" spans="1:20" x14ac:dyDescent="0.25">
      <c r="A72" s="2" t="str">
        <f t="shared" ca="1" si="0"/>
        <v xml:space="preserve">Connectors </v>
      </c>
      <c r="B72" s="46" t="s">
        <v>59</v>
      </c>
      <c r="C72" s="46"/>
      <c r="D72" s="46"/>
      <c r="E72" s="46"/>
      <c r="F72" s="46"/>
      <c r="G72" s="46"/>
      <c r="H72" s="46"/>
      <c r="I72" s="22"/>
      <c r="J72" s="12" t="str">
        <f>IF(COUNTIF(J74:J92, "="&amp;IncompleteText), IncompleteText, IF(COUNTIF(J74:J92, "="&amp;ErrorText), ErrorText, OKText))</f>
        <v>BLANK</v>
      </c>
    </row>
    <row r="73" spans="1:20" ht="29" x14ac:dyDescent="0.25">
      <c r="A73" s="2" t="str">
        <f t="shared" ca="1" si="0"/>
        <v>Manufacturer Part Number</v>
      </c>
      <c r="B73" t="s">
        <v>38</v>
      </c>
      <c r="C73" s="17" t="s">
        <v>39</v>
      </c>
      <c r="D73" s="17" t="s">
        <v>47</v>
      </c>
      <c r="E73" s="17" t="s">
        <v>42</v>
      </c>
      <c r="F73" s="17" t="s">
        <v>60</v>
      </c>
      <c r="G73" s="82" t="s">
        <v>35</v>
      </c>
      <c r="H73" s="82"/>
      <c r="I73" s="17" t="s">
        <v>44</v>
      </c>
      <c r="J73" s="24"/>
      <c r="K73" s="90" t="s">
        <v>15</v>
      </c>
      <c r="L73" s="90"/>
      <c r="M73" s="90"/>
      <c r="N73" s="90"/>
      <c r="O73" s="90"/>
      <c r="P73" s="98" t="s">
        <v>45</v>
      </c>
      <c r="Q73" s="99"/>
    </row>
    <row r="74" spans="1:20" x14ac:dyDescent="0.25">
      <c r="A74" s="2" t="str">
        <f t="shared" ca="1" si="0"/>
        <v xml:space="preserve"> </v>
      </c>
      <c r="B74" s="3"/>
      <c r="C74" s="11"/>
      <c r="D74" s="3"/>
      <c r="E74" s="3"/>
      <c r="F74" s="3"/>
      <c r="G74" s="54"/>
      <c r="H74" s="54"/>
      <c r="I74" s="21"/>
      <c r="J74" s="12" t="str">
        <f>IF(COUNTBLANK(B74:I74)=8,IncompleteText,IF(COUNTBLANK(B74:I74)=1,OKText,ErrorText))</f>
        <v>BLANK</v>
      </c>
      <c r="K74" s="54"/>
      <c r="L74" s="54"/>
      <c r="M74" s="54"/>
      <c r="N74" s="54"/>
      <c r="O74" s="54"/>
      <c r="P74" s="92" t="s">
        <v>372</v>
      </c>
      <c r="Q74" s="93"/>
    </row>
    <row r="75" spans="1:20" x14ac:dyDescent="0.25">
      <c r="A75" s="2" t="str">
        <f t="shared" ca="1" si="0"/>
        <v xml:space="preserve"> </v>
      </c>
      <c r="B75" s="3"/>
      <c r="C75" s="11"/>
      <c r="D75" s="3"/>
      <c r="E75" s="3"/>
      <c r="F75" s="3"/>
      <c r="G75" s="54"/>
      <c r="H75" s="54"/>
      <c r="I75" s="21"/>
      <c r="J75" s="12" t="str">
        <f t="shared" ref="J75:J92" si="3">IF(COUNTBLANK(B75:I75)=8,"",IF(COUNTBLANK(B75:I75)=1,OKText,ErrorText))</f>
        <v/>
      </c>
      <c r="K75" s="54"/>
      <c r="L75" s="54"/>
      <c r="M75" s="54"/>
      <c r="N75" s="54"/>
      <c r="O75" s="54"/>
      <c r="P75" s="94"/>
      <c r="Q75" s="95"/>
    </row>
    <row r="76" spans="1:20" x14ac:dyDescent="0.25">
      <c r="A76" s="2" t="str">
        <f t="shared" ca="1" si="0"/>
        <v xml:space="preserve"> </v>
      </c>
      <c r="B76" s="3"/>
      <c r="C76" s="11"/>
      <c r="D76" s="3"/>
      <c r="E76" s="3"/>
      <c r="F76" s="3"/>
      <c r="G76" s="54"/>
      <c r="H76" s="54"/>
      <c r="I76" s="21"/>
      <c r="J76" s="12" t="str">
        <f t="shared" si="3"/>
        <v/>
      </c>
      <c r="K76" s="54"/>
      <c r="L76" s="54"/>
      <c r="M76" s="54"/>
      <c r="N76" s="54"/>
      <c r="O76" s="54"/>
      <c r="P76" s="94"/>
      <c r="Q76" s="95"/>
    </row>
    <row r="77" spans="1:20" x14ac:dyDescent="0.25">
      <c r="A77" s="2" t="str">
        <f t="shared" ca="1" si="0"/>
        <v xml:space="preserve"> </v>
      </c>
      <c r="B77" s="3"/>
      <c r="C77" s="11"/>
      <c r="D77" s="3"/>
      <c r="E77" s="3"/>
      <c r="F77" s="3"/>
      <c r="G77" s="54"/>
      <c r="H77" s="54"/>
      <c r="I77" s="21"/>
      <c r="J77" s="12" t="str">
        <f t="shared" si="3"/>
        <v/>
      </c>
      <c r="K77" s="54"/>
      <c r="L77" s="54"/>
      <c r="M77" s="54"/>
      <c r="N77" s="54"/>
      <c r="O77" s="54"/>
      <c r="P77" s="94"/>
      <c r="Q77" s="95"/>
    </row>
    <row r="78" spans="1:20" x14ac:dyDescent="0.25">
      <c r="A78" s="2" t="str">
        <f t="shared" ca="1" si="0"/>
        <v xml:space="preserve"> </v>
      </c>
      <c r="B78" s="3"/>
      <c r="C78" s="11"/>
      <c r="D78" s="3"/>
      <c r="E78" s="3"/>
      <c r="F78" s="3"/>
      <c r="G78" s="54"/>
      <c r="H78" s="54"/>
      <c r="I78" s="21"/>
      <c r="J78" s="12" t="str">
        <f t="shared" si="3"/>
        <v/>
      </c>
      <c r="K78" s="54"/>
      <c r="L78" s="54"/>
      <c r="M78" s="54"/>
      <c r="N78" s="54"/>
      <c r="O78" s="54"/>
      <c r="P78" s="94"/>
      <c r="Q78" s="95"/>
    </row>
    <row r="79" spans="1:20" x14ac:dyDescent="0.25">
      <c r="A79" s="2" t="str">
        <f t="shared" ca="1" si="0"/>
        <v xml:space="preserve"> </v>
      </c>
      <c r="B79" s="3"/>
      <c r="C79" s="11"/>
      <c r="D79" s="3"/>
      <c r="E79" s="3"/>
      <c r="F79" s="3"/>
      <c r="G79" s="54"/>
      <c r="H79" s="54"/>
      <c r="I79" s="21"/>
      <c r="J79" s="12" t="str">
        <f t="shared" si="3"/>
        <v/>
      </c>
      <c r="K79" s="54"/>
      <c r="L79" s="54"/>
      <c r="M79" s="54"/>
      <c r="N79" s="54"/>
      <c r="O79" s="54"/>
      <c r="P79" s="94"/>
      <c r="Q79" s="95"/>
    </row>
    <row r="80" spans="1:20" x14ac:dyDescent="0.25">
      <c r="A80" s="2" t="str">
        <f t="shared" ca="1" si="0"/>
        <v xml:space="preserve"> </v>
      </c>
      <c r="B80" s="3"/>
      <c r="C80" s="11"/>
      <c r="D80" s="3"/>
      <c r="E80" s="3"/>
      <c r="F80" s="3"/>
      <c r="G80" s="54"/>
      <c r="H80" s="54"/>
      <c r="I80" s="21"/>
      <c r="J80" s="12" t="str">
        <f t="shared" si="3"/>
        <v/>
      </c>
      <c r="K80" s="54"/>
      <c r="L80" s="54"/>
      <c r="M80" s="54"/>
      <c r="N80" s="54"/>
      <c r="O80" s="54"/>
      <c r="P80" s="94"/>
      <c r="Q80" s="95"/>
    </row>
    <row r="81" spans="1:19" x14ac:dyDescent="0.25">
      <c r="A81" s="2" t="str">
        <f t="shared" ca="1" si="0"/>
        <v xml:space="preserve"> </v>
      </c>
      <c r="B81" s="3"/>
      <c r="C81" s="11"/>
      <c r="D81" s="3"/>
      <c r="E81" s="3"/>
      <c r="F81" s="3"/>
      <c r="G81" s="54"/>
      <c r="H81" s="54"/>
      <c r="I81" s="21"/>
      <c r="J81" s="12" t="str">
        <f t="shared" si="3"/>
        <v/>
      </c>
      <c r="K81" s="54"/>
      <c r="L81" s="54"/>
      <c r="M81" s="54"/>
      <c r="N81" s="54"/>
      <c r="O81" s="54"/>
      <c r="P81" s="94"/>
      <c r="Q81" s="95"/>
    </row>
    <row r="82" spans="1:19" x14ac:dyDescent="0.25">
      <c r="A82" s="2" t="str">
        <f t="shared" ca="1" si="0"/>
        <v xml:space="preserve"> </v>
      </c>
      <c r="B82" s="3"/>
      <c r="C82" s="11"/>
      <c r="D82" s="3"/>
      <c r="E82" s="3"/>
      <c r="F82" s="3"/>
      <c r="G82" s="54"/>
      <c r="H82" s="54"/>
      <c r="I82" s="21"/>
      <c r="J82" s="12" t="str">
        <f t="shared" si="3"/>
        <v/>
      </c>
      <c r="K82" s="54"/>
      <c r="L82" s="54"/>
      <c r="M82" s="54"/>
      <c r="N82" s="54"/>
      <c r="O82" s="54"/>
      <c r="P82" s="94"/>
      <c r="Q82" s="95"/>
    </row>
    <row r="83" spans="1:19" x14ac:dyDescent="0.25">
      <c r="A83" s="2" t="str">
        <f t="shared" ca="1" si="0"/>
        <v xml:space="preserve"> </v>
      </c>
      <c r="B83" s="3"/>
      <c r="C83" s="11"/>
      <c r="D83" s="3"/>
      <c r="E83" s="3"/>
      <c r="F83" s="3"/>
      <c r="G83" s="54"/>
      <c r="H83" s="54"/>
      <c r="I83" s="21"/>
      <c r="J83" s="12" t="str">
        <f t="shared" si="3"/>
        <v/>
      </c>
      <c r="K83" s="54"/>
      <c r="L83" s="54"/>
      <c r="M83" s="54"/>
      <c r="N83" s="54"/>
      <c r="O83" s="54"/>
      <c r="P83" s="94"/>
      <c r="Q83" s="95"/>
    </row>
    <row r="84" spans="1:19" x14ac:dyDescent="0.25">
      <c r="A84" s="2" t="str">
        <f t="shared" ca="1" si="0"/>
        <v xml:space="preserve"> </v>
      </c>
      <c r="B84" s="3"/>
      <c r="C84" s="11"/>
      <c r="D84" s="3"/>
      <c r="E84" s="3"/>
      <c r="F84" s="3"/>
      <c r="G84" s="54"/>
      <c r="H84" s="54"/>
      <c r="I84" s="21"/>
      <c r="J84" s="12" t="str">
        <f t="shared" si="3"/>
        <v/>
      </c>
      <c r="K84" s="54"/>
      <c r="L84" s="54"/>
      <c r="M84" s="54"/>
      <c r="N84" s="54"/>
      <c r="O84" s="54"/>
      <c r="P84" s="94"/>
      <c r="Q84" s="95"/>
    </row>
    <row r="85" spans="1:19" x14ac:dyDescent="0.25">
      <c r="A85" s="2" t="str">
        <f t="shared" ref="A85:A105" ca="1" si="4">CONCATENATE(INDIRECT(CONCATENATE("B",ROW(A85))), " ", INDIRECT(CONCATENATE("C",ROW(A85))))</f>
        <v xml:space="preserve"> </v>
      </c>
      <c r="B85" s="3"/>
      <c r="C85" s="11"/>
      <c r="D85" s="3"/>
      <c r="E85" s="3"/>
      <c r="F85" s="3"/>
      <c r="G85" s="54"/>
      <c r="H85" s="54"/>
      <c r="I85" s="21"/>
      <c r="J85" s="12" t="str">
        <f t="shared" si="3"/>
        <v/>
      </c>
      <c r="K85" s="54"/>
      <c r="L85" s="54"/>
      <c r="M85" s="54"/>
      <c r="N85" s="54"/>
      <c r="O85" s="54"/>
      <c r="P85" s="94"/>
      <c r="Q85" s="95"/>
    </row>
    <row r="86" spans="1:19" x14ac:dyDescent="0.25">
      <c r="A86" s="2" t="str">
        <f t="shared" ca="1" si="4"/>
        <v xml:space="preserve"> </v>
      </c>
      <c r="B86" s="3"/>
      <c r="C86" s="11"/>
      <c r="D86" s="3"/>
      <c r="E86" s="3"/>
      <c r="F86" s="3"/>
      <c r="G86" s="54"/>
      <c r="H86" s="54"/>
      <c r="I86" s="21"/>
      <c r="J86" s="12" t="str">
        <f t="shared" si="3"/>
        <v/>
      </c>
      <c r="K86" s="54"/>
      <c r="L86" s="54"/>
      <c r="M86" s="54"/>
      <c r="N86" s="54"/>
      <c r="O86" s="54"/>
      <c r="P86" s="94"/>
      <c r="Q86" s="95"/>
    </row>
    <row r="87" spans="1:19" x14ac:dyDescent="0.25">
      <c r="A87" s="2" t="str">
        <f t="shared" ca="1" si="4"/>
        <v xml:space="preserve"> </v>
      </c>
      <c r="B87" s="3"/>
      <c r="C87" s="11"/>
      <c r="D87" s="3"/>
      <c r="E87" s="3"/>
      <c r="F87" s="3"/>
      <c r="G87" s="54"/>
      <c r="H87" s="54"/>
      <c r="I87" s="21"/>
      <c r="J87" s="12" t="str">
        <f t="shared" si="3"/>
        <v/>
      </c>
      <c r="K87" s="54"/>
      <c r="L87" s="54"/>
      <c r="M87" s="54"/>
      <c r="N87" s="54"/>
      <c r="O87" s="54"/>
      <c r="P87" s="94"/>
      <c r="Q87" s="95"/>
    </row>
    <row r="88" spans="1:19" x14ac:dyDescent="0.25">
      <c r="A88" s="2" t="str">
        <f t="shared" ca="1" si="4"/>
        <v xml:space="preserve"> </v>
      </c>
      <c r="B88" s="3"/>
      <c r="C88" s="11"/>
      <c r="D88" s="3"/>
      <c r="E88" s="3"/>
      <c r="F88" s="3"/>
      <c r="G88" s="54"/>
      <c r="H88" s="54"/>
      <c r="I88" s="21"/>
      <c r="J88" s="12" t="str">
        <f t="shared" si="3"/>
        <v/>
      </c>
      <c r="K88" s="54"/>
      <c r="L88" s="54"/>
      <c r="M88" s="54"/>
      <c r="N88" s="54"/>
      <c r="O88" s="54"/>
      <c r="P88" s="94"/>
      <c r="Q88" s="95"/>
    </row>
    <row r="89" spans="1:19" x14ac:dyDescent="0.25">
      <c r="A89" s="2" t="str">
        <f t="shared" ca="1" si="4"/>
        <v xml:space="preserve"> </v>
      </c>
      <c r="B89" s="3"/>
      <c r="C89" s="11"/>
      <c r="D89" s="3"/>
      <c r="E89" s="3"/>
      <c r="F89" s="3"/>
      <c r="G89" s="54"/>
      <c r="H89" s="54"/>
      <c r="I89" s="21"/>
      <c r="J89" s="12" t="str">
        <f t="shared" si="3"/>
        <v/>
      </c>
      <c r="K89" s="54"/>
      <c r="L89" s="54"/>
      <c r="M89" s="54"/>
      <c r="N89" s="54"/>
      <c r="O89" s="54"/>
      <c r="P89" s="94"/>
      <c r="Q89" s="95"/>
    </row>
    <row r="90" spans="1:19" x14ac:dyDescent="0.25">
      <c r="A90" s="2" t="str">
        <f t="shared" ca="1" si="4"/>
        <v xml:space="preserve"> </v>
      </c>
      <c r="B90" s="3"/>
      <c r="C90" s="11"/>
      <c r="D90" s="3"/>
      <c r="E90" s="3"/>
      <c r="F90" s="3"/>
      <c r="G90" s="54"/>
      <c r="H90" s="54"/>
      <c r="I90" s="21"/>
      <c r="J90" s="12" t="str">
        <f t="shared" si="3"/>
        <v/>
      </c>
      <c r="K90" s="54"/>
      <c r="L90" s="54"/>
      <c r="M90" s="54"/>
      <c r="N90" s="54"/>
      <c r="O90" s="54"/>
      <c r="P90" s="94"/>
      <c r="Q90" s="95"/>
    </row>
    <row r="91" spans="1:19" x14ac:dyDescent="0.25">
      <c r="A91" s="2" t="str">
        <f t="shared" ca="1" si="4"/>
        <v xml:space="preserve"> </v>
      </c>
      <c r="B91" s="3"/>
      <c r="C91" s="11"/>
      <c r="D91" s="3"/>
      <c r="E91" s="3"/>
      <c r="F91" s="3"/>
      <c r="G91" s="54"/>
      <c r="H91" s="54"/>
      <c r="I91" s="21"/>
      <c r="J91" s="12" t="str">
        <f t="shared" si="3"/>
        <v/>
      </c>
      <c r="K91" s="54"/>
      <c r="L91" s="54"/>
      <c r="M91" s="54"/>
      <c r="N91" s="54"/>
      <c r="O91" s="54"/>
      <c r="P91" s="94"/>
      <c r="Q91" s="95"/>
    </row>
    <row r="92" spans="1:19" x14ac:dyDescent="0.25">
      <c r="A92" s="2" t="str">
        <f t="shared" ca="1" si="4"/>
        <v xml:space="preserve"> </v>
      </c>
      <c r="B92" s="3"/>
      <c r="C92" s="11"/>
      <c r="D92" s="3"/>
      <c r="E92" s="3"/>
      <c r="F92" s="3"/>
      <c r="G92" s="54"/>
      <c r="H92" s="54"/>
      <c r="I92" s="21"/>
      <c r="J92" s="12" t="str">
        <f t="shared" si="3"/>
        <v/>
      </c>
      <c r="K92" s="54"/>
      <c r="L92" s="54"/>
      <c r="M92" s="54"/>
      <c r="N92" s="54"/>
      <c r="O92" s="54"/>
      <c r="P92" s="96"/>
      <c r="Q92" s="97"/>
    </row>
    <row r="93" spans="1:19" x14ac:dyDescent="0.25">
      <c r="A93" s="2" t="str">
        <f t="shared" ca="1" si="4"/>
        <v xml:space="preserve"> </v>
      </c>
    </row>
    <row r="94" spans="1:19" x14ac:dyDescent="0.25">
      <c r="A94" s="2" t="str">
        <f t="shared" ca="1" si="4"/>
        <v xml:space="preserve">Insulating Materials </v>
      </c>
      <c r="B94" s="46" t="s">
        <v>61</v>
      </c>
      <c r="C94" s="46"/>
      <c r="D94" s="46"/>
      <c r="E94" s="46"/>
      <c r="F94" s="46"/>
      <c r="G94" s="46"/>
      <c r="H94" s="46"/>
      <c r="I94" s="46"/>
      <c r="J94" s="46"/>
      <c r="K94" s="22"/>
      <c r="L94" s="12" t="str">
        <f>IF(COUNTIF(L96:L105, "="&amp;IncompleteText), IncompleteText, IF(COUNTIF(L96:L105, "="&amp;ErrorText), ErrorText, OKText))</f>
        <v>BLANK</v>
      </c>
    </row>
    <row r="95" spans="1:19" ht="40.5" x14ac:dyDescent="0.25">
      <c r="A95" s="2" t="str">
        <f t="shared" ca="1" si="4"/>
        <v>Manufacturer Part Number</v>
      </c>
      <c r="B95" t="s">
        <v>38</v>
      </c>
      <c r="C95" s="17" t="s">
        <v>39</v>
      </c>
      <c r="D95" s="31" t="s">
        <v>62</v>
      </c>
      <c r="E95" s="17" t="s">
        <v>63</v>
      </c>
      <c r="F95" s="17" t="s">
        <v>64</v>
      </c>
      <c r="G95" s="17" t="s">
        <v>43</v>
      </c>
      <c r="H95" s="32" t="s">
        <v>65</v>
      </c>
      <c r="I95" s="82" t="s">
        <v>35</v>
      </c>
      <c r="J95" s="82"/>
      <c r="K95" s="17" t="s">
        <v>44</v>
      </c>
      <c r="L95" s="24"/>
      <c r="M95" s="90" t="s">
        <v>15</v>
      </c>
      <c r="N95" s="90"/>
      <c r="O95" s="90"/>
      <c r="P95" s="90"/>
      <c r="Q95" s="90"/>
      <c r="R95" s="98" t="s">
        <v>45</v>
      </c>
      <c r="S95" s="99"/>
    </row>
    <row r="96" spans="1:19" x14ac:dyDescent="0.25">
      <c r="A96" s="2" t="str">
        <f t="shared" ca="1" si="4"/>
        <v xml:space="preserve"> </v>
      </c>
      <c r="B96" s="11"/>
      <c r="C96" s="11"/>
      <c r="D96" s="20"/>
      <c r="E96" s="20"/>
      <c r="F96" s="1" t="str">
        <f t="shared" ref="F96:F105" si="5">IF(OR(ISBLANK(D96),ISBLANK(E96)), "", D96*E96)</f>
        <v/>
      </c>
      <c r="G96" s="20"/>
      <c r="H96" s="37"/>
      <c r="I96" s="54"/>
      <c r="J96" s="54"/>
      <c r="K96" s="21"/>
      <c r="L96" s="12" t="str">
        <f>IF(COUNTBLANK(B96:K96)=10,IncompleteText,IF(COUNTBLANK(B96:K96)=1,OKText,ErrorText))</f>
        <v>BLANK</v>
      </c>
      <c r="M96" s="54"/>
      <c r="N96" s="54"/>
      <c r="O96" s="54"/>
      <c r="P96" s="54"/>
      <c r="Q96" s="54"/>
      <c r="R96" s="92" t="s">
        <v>373</v>
      </c>
      <c r="S96" s="93"/>
    </row>
    <row r="97" spans="1:19" x14ac:dyDescent="0.25">
      <c r="A97" s="2" t="str">
        <f t="shared" ca="1" si="4"/>
        <v xml:space="preserve"> </v>
      </c>
      <c r="B97" s="3"/>
      <c r="C97" s="11"/>
      <c r="D97" s="20"/>
      <c r="E97" s="20"/>
      <c r="F97" s="1" t="str">
        <f t="shared" si="5"/>
        <v/>
      </c>
      <c r="G97" s="20"/>
      <c r="H97" s="37"/>
      <c r="I97" s="54"/>
      <c r="J97" s="54"/>
      <c r="K97" s="21"/>
      <c r="L97" s="12" t="str">
        <f t="shared" ref="L97:L105" si="6">IF(COUNTBLANK(B97:K97)=10,"",IF(COUNTBLANK(B97:K97)=1,OKText,ErrorText))</f>
        <v/>
      </c>
      <c r="M97" s="54"/>
      <c r="N97" s="54"/>
      <c r="O97" s="54"/>
      <c r="P97" s="54"/>
      <c r="Q97" s="54"/>
      <c r="R97" s="94"/>
      <c r="S97" s="95"/>
    </row>
    <row r="98" spans="1:19" x14ac:dyDescent="0.25">
      <c r="A98" s="2" t="str">
        <f t="shared" ca="1" si="4"/>
        <v xml:space="preserve"> </v>
      </c>
      <c r="B98" s="11"/>
      <c r="C98" s="11"/>
      <c r="D98" s="20"/>
      <c r="E98" s="20"/>
      <c r="F98" s="1" t="str">
        <f t="shared" si="5"/>
        <v/>
      </c>
      <c r="G98" s="20"/>
      <c r="H98" s="37"/>
      <c r="I98" s="54"/>
      <c r="J98" s="54"/>
      <c r="K98" s="21"/>
      <c r="L98" s="12" t="str">
        <f t="shared" si="6"/>
        <v/>
      </c>
      <c r="M98" s="54"/>
      <c r="N98" s="54"/>
      <c r="O98" s="54"/>
      <c r="P98" s="54"/>
      <c r="Q98" s="54"/>
      <c r="R98" s="94"/>
      <c r="S98" s="95"/>
    </row>
    <row r="99" spans="1:19" x14ac:dyDescent="0.25">
      <c r="A99" s="2" t="str">
        <f t="shared" ca="1" si="4"/>
        <v xml:space="preserve"> </v>
      </c>
      <c r="B99" s="3"/>
      <c r="C99" s="11"/>
      <c r="D99" s="20"/>
      <c r="E99" s="20"/>
      <c r="F99" s="1" t="str">
        <f t="shared" si="5"/>
        <v/>
      </c>
      <c r="G99" s="20"/>
      <c r="H99" s="37"/>
      <c r="I99" s="54"/>
      <c r="J99" s="54"/>
      <c r="K99" s="21"/>
      <c r="L99" s="12" t="str">
        <f t="shared" si="6"/>
        <v/>
      </c>
      <c r="M99" s="54"/>
      <c r="N99" s="54"/>
      <c r="O99" s="54"/>
      <c r="P99" s="54"/>
      <c r="Q99" s="54"/>
      <c r="R99" s="94"/>
      <c r="S99" s="95"/>
    </row>
    <row r="100" spans="1:19" x14ac:dyDescent="0.25">
      <c r="A100" s="2" t="str">
        <f t="shared" ca="1" si="4"/>
        <v xml:space="preserve"> </v>
      </c>
      <c r="B100" s="3"/>
      <c r="C100" s="11"/>
      <c r="D100" s="20"/>
      <c r="E100" s="20"/>
      <c r="F100" s="1" t="str">
        <f t="shared" si="5"/>
        <v/>
      </c>
      <c r="G100" s="20"/>
      <c r="H100" s="37"/>
      <c r="I100" s="54"/>
      <c r="J100" s="54"/>
      <c r="K100" s="21"/>
      <c r="L100" s="12" t="str">
        <f t="shared" si="6"/>
        <v/>
      </c>
      <c r="M100" s="54"/>
      <c r="N100" s="54"/>
      <c r="O100" s="54"/>
      <c r="P100" s="54"/>
      <c r="Q100" s="54"/>
      <c r="R100" s="94"/>
      <c r="S100" s="95"/>
    </row>
    <row r="101" spans="1:19" x14ac:dyDescent="0.25">
      <c r="A101" s="2" t="str">
        <f t="shared" ca="1" si="4"/>
        <v xml:space="preserve"> </v>
      </c>
      <c r="B101" s="3"/>
      <c r="C101" s="11"/>
      <c r="D101" s="20"/>
      <c r="E101" s="20"/>
      <c r="F101" s="1" t="str">
        <f t="shared" si="5"/>
        <v/>
      </c>
      <c r="G101" s="20"/>
      <c r="H101" s="37"/>
      <c r="I101" s="54"/>
      <c r="J101" s="54"/>
      <c r="K101" s="21"/>
      <c r="L101" s="12" t="str">
        <f t="shared" si="6"/>
        <v/>
      </c>
      <c r="M101" s="54"/>
      <c r="N101" s="54"/>
      <c r="O101" s="54"/>
      <c r="P101" s="54"/>
      <c r="Q101" s="54"/>
      <c r="R101" s="94"/>
      <c r="S101" s="95"/>
    </row>
    <row r="102" spans="1:19" x14ac:dyDescent="0.25">
      <c r="A102" s="2" t="str">
        <f t="shared" ca="1" si="4"/>
        <v xml:space="preserve"> </v>
      </c>
      <c r="B102" s="3"/>
      <c r="C102" s="11"/>
      <c r="D102" s="20"/>
      <c r="E102" s="20"/>
      <c r="F102" s="1" t="str">
        <f t="shared" si="5"/>
        <v/>
      </c>
      <c r="G102" s="20"/>
      <c r="H102" s="37"/>
      <c r="I102" s="54"/>
      <c r="J102" s="54"/>
      <c r="K102" s="21"/>
      <c r="L102" s="12" t="str">
        <f t="shared" si="6"/>
        <v/>
      </c>
      <c r="M102" s="54"/>
      <c r="N102" s="54"/>
      <c r="O102" s="54"/>
      <c r="P102" s="54"/>
      <c r="Q102" s="54"/>
      <c r="R102" s="94"/>
      <c r="S102" s="95"/>
    </row>
    <row r="103" spans="1:19" x14ac:dyDescent="0.25">
      <c r="A103" s="2" t="str">
        <f t="shared" ca="1" si="4"/>
        <v xml:space="preserve"> </v>
      </c>
      <c r="B103" s="3"/>
      <c r="C103" s="11"/>
      <c r="D103" s="20"/>
      <c r="E103" s="20"/>
      <c r="F103" s="1" t="str">
        <f t="shared" si="5"/>
        <v/>
      </c>
      <c r="G103" s="20"/>
      <c r="H103" s="37"/>
      <c r="I103" s="54"/>
      <c r="J103" s="54"/>
      <c r="K103" s="21"/>
      <c r="L103" s="12" t="str">
        <f t="shared" si="6"/>
        <v/>
      </c>
      <c r="M103" s="54"/>
      <c r="N103" s="54"/>
      <c r="O103" s="54"/>
      <c r="P103" s="54"/>
      <c r="Q103" s="54"/>
      <c r="R103" s="94"/>
      <c r="S103" s="95"/>
    </row>
    <row r="104" spans="1:19" x14ac:dyDescent="0.25">
      <c r="A104" s="2" t="str">
        <f t="shared" ca="1" si="4"/>
        <v xml:space="preserve"> </v>
      </c>
      <c r="B104" s="3"/>
      <c r="C104" s="11"/>
      <c r="D104" s="20"/>
      <c r="E104" s="20"/>
      <c r="F104" s="1" t="str">
        <f t="shared" si="5"/>
        <v/>
      </c>
      <c r="G104" s="20"/>
      <c r="H104" s="37"/>
      <c r="I104" s="54"/>
      <c r="J104" s="54"/>
      <c r="K104" s="21"/>
      <c r="L104" s="12" t="str">
        <f t="shared" si="6"/>
        <v/>
      </c>
      <c r="M104" s="54"/>
      <c r="N104" s="54"/>
      <c r="O104" s="54"/>
      <c r="P104" s="54"/>
      <c r="Q104" s="54"/>
      <c r="R104" s="94"/>
      <c r="S104" s="95"/>
    </row>
    <row r="105" spans="1:19" x14ac:dyDescent="0.25">
      <c r="A105" s="2" t="str">
        <f t="shared" ca="1" si="4"/>
        <v xml:space="preserve"> </v>
      </c>
      <c r="B105" s="3"/>
      <c r="C105" s="11"/>
      <c r="D105" s="20"/>
      <c r="E105" s="20"/>
      <c r="F105" s="1" t="str">
        <f t="shared" si="5"/>
        <v/>
      </c>
      <c r="G105" s="20"/>
      <c r="H105" s="37"/>
      <c r="I105" s="54"/>
      <c r="J105" s="54"/>
      <c r="K105" s="21"/>
      <c r="L105" s="12" t="str">
        <f t="shared" si="6"/>
        <v/>
      </c>
      <c r="M105" s="54"/>
      <c r="N105" s="54"/>
      <c r="O105" s="54"/>
      <c r="P105" s="54"/>
      <c r="Q105" s="54"/>
      <c r="R105" s="96"/>
      <c r="S105" s="97"/>
    </row>
  </sheetData>
  <sheetProtection algorithmName="SHA-512" hashValue="ykSxQdKPsGZueN00oZXT/bFv1RB1vIWunh86sxDbQASI0qQniQvaPMI3TUuXa6ICPlVN+BoYVliu2ABn9pva2g==" saltValue="rLvKXFb8xoBXNTfcvW9+xw==" spinCount="100000" sheet="1" scenarios="1" insertHyperlinks="0"/>
  <mergeCells count="206">
    <mergeCell ref="B94:J94"/>
    <mergeCell ref="R96:S105"/>
    <mergeCell ref="M99:Q99"/>
    <mergeCell ref="G90:H90"/>
    <mergeCell ref="Q19:R19"/>
    <mergeCell ref="Q20:R38"/>
    <mergeCell ref="Q41:R41"/>
    <mergeCell ref="T56:U56"/>
    <mergeCell ref="S65:T65"/>
    <mergeCell ref="P73:Q73"/>
    <mergeCell ref="R95:S95"/>
    <mergeCell ref="Q42:R53"/>
    <mergeCell ref="T57:U62"/>
    <mergeCell ref="P74:Q92"/>
    <mergeCell ref="S66:T70"/>
    <mergeCell ref="L19:P19"/>
    <mergeCell ref="L20:P20"/>
    <mergeCell ref="L21:P21"/>
    <mergeCell ref="L38:P38"/>
    <mergeCell ref="L33:P33"/>
    <mergeCell ref="L34:P34"/>
    <mergeCell ref="L35:P35"/>
    <mergeCell ref="L36:P36"/>
    <mergeCell ref="L37:P37"/>
    <mergeCell ref="M96:Q96"/>
    <mergeCell ref="M97:Q97"/>
    <mergeCell ref="M98:Q98"/>
    <mergeCell ref="K60:L60"/>
    <mergeCell ref="K61:L61"/>
    <mergeCell ref="K62:L62"/>
    <mergeCell ref="K88:O88"/>
    <mergeCell ref="K89:O89"/>
    <mergeCell ref="K90:O90"/>
    <mergeCell ref="K91:O91"/>
    <mergeCell ref="K92:O92"/>
    <mergeCell ref="K86:O86"/>
    <mergeCell ref="K87:O87"/>
    <mergeCell ref="N65:R65"/>
    <mergeCell ref="N67:R67"/>
    <mergeCell ref="N68:R68"/>
    <mergeCell ref="N69:R69"/>
    <mergeCell ref="N70:R70"/>
    <mergeCell ref="K83:O83"/>
    <mergeCell ref="K84:O84"/>
    <mergeCell ref="K85:O85"/>
    <mergeCell ref="K57:L57"/>
    <mergeCell ref="H60:J60"/>
    <mergeCell ref="H22:I22"/>
    <mergeCell ref="H23:I23"/>
    <mergeCell ref="H28:I28"/>
    <mergeCell ref="L25:P25"/>
    <mergeCell ref="L26:P26"/>
    <mergeCell ref="L27:P27"/>
    <mergeCell ref="H57:J57"/>
    <mergeCell ref="H50:I50"/>
    <mergeCell ref="H51:I51"/>
    <mergeCell ref="H52:I52"/>
    <mergeCell ref="H53:I53"/>
    <mergeCell ref="B40:I40"/>
    <mergeCell ref="H43:I43"/>
    <mergeCell ref="L29:P29"/>
    <mergeCell ref="L30:P30"/>
    <mergeCell ref="L24:P24"/>
    <mergeCell ref="H29:I29"/>
    <mergeCell ref="H30:I30"/>
    <mergeCell ref="H26:I26"/>
    <mergeCell ref="H27:I27"/>
    <mergeCell ref="L28:P28"/>
    <mergeCell ref="L48:P48"/>
    <mergeCell ref="M100:Q100"/>
    <mergeCell ref="M101:Q101"/>
    <mergeCell ref="M102:Q102"/>
    <mergeCell ref="M103:Q103"/>
    <mergeCell ref="M104:Q104"/>
    <mergeCell ref="M105:Q105"/>
    <mergeCell ref="M95:Q95"/>
    <mergeCell ref="L22:P22"/>
    <mergeCell ref="L23:P23"/>
    <mergeCell ref="N66:R66"/>
    <mergeCell ref="O56:S56"/>
    <mergeCell ref="O57:S57"/>
    <mergeCell ref="L41:P41"/>
    <mergeCell ref="L42:P42"/>
    <mergeCell ref="L47:P47"/>
    <mergeCell ref="L50:P50"/>
    <mergeCell ref="L51:P51"/>
    <mergeCell ref="L52:P52"/>
    <mergeCell ref="L53:P53"/>
    <mergeCell ref="O58:S58"/>
    <mergeCell ref="O59:S59"/>
    <mergeCell ref="O60:S60"/>
    <mergeCell ref="O61:S61"/>
    <mergeCell ref="O62:S62"/>
    <mergeCell ref="I105:J105"/>
    <mergeCell ref="B18:I18"/>
    <mergeCell ref="I100:J100"/>
    <mergeCell ref="I101:J101"/>
    <mergeCell ref="I102:J102"/>
    <mergeCell ref="I103:J103"/>
    <mergeCell ref="I104:J104"/>
    <mergeCell ref="I95:J95"/>
    <mergeCell ref="I96:J96"/>
    <mergeCell ref="I97:J97"/>
    <mergeCell ref="I98:J98"/>
    <mergeCell ref="I99:J99"/>
    <mergeCell ref="G88:H88"/>
    <mergeCell ref="G89:H89"/>
    <mergeCell ref="H56:J56"/>
    <mergeCell ref="H48:I48"/>
    <mergeCell ref="H49:I49"/>
    <mergeCell ref="G75:H75"/>
    <mergeCell ref="J65:K65"/>
    <mergeCell ref="J66:K66"/>
    <mergeCell ref="G91:H91"/>
    <mergeCell ref="G92:H92"/>
    <mergeCell ref="B55:L55"/>
    <mergeCell ref="K56:L56"/>
    <mergeCell ref="H59:J59"/>
    <mergeCell ref="G77:H77"/>
    <mergeCell ref="G78:H78"/>
    <mergeCell ref="G79:H79"/>
    <mergeCell ref="G80:H80"/>
    <mergeCell ref="G81:H81"/>
    <mergeCell ref="G82:H82"/>
    <mergeCell ref="J67:K67"/>
    <mergeCell ref="K77:O77"/>
    <mergeCell ref="K78:O78"/>
    <mergeCell ref="K79:O79"/>
    <mergeCell ref="K80:O80"/>
    <mergeCell ref="K81:O81"/>
    <mergeCell ref="K82:O82"/>
    <mergeCell ref="K73:O73"/>
    <mergeCell ref="K74:O74"/>
    <mergeCell ref="K75:O75"/>
    <mergeCell ref="K76:O76"/>
    <mergeCell ref="G86:H86"/>
    <mergeCell ref="G87:H87"/>
    <mergeCell ref="H58:J58"/>
    <mergeCell ref="H61:J61"/>
    <mergeCell ref="H62:J62"/>
    <mergeCell ref="G73:H73"/>
    <mergeCell ref="G74:H74"/>
    <mergeCell ref="G85:H85"/>
    <mergeCell ref="G65:H65"/>
    <mergeCell ref="G66:H66"/>
    <mergeCell ref="G67:H67"/>
    <mergeCell ref="G68:H68"/>
    <mergeCell ref="G69:H69"/>
    <mergeCell ref="G70:H70"/>
    <mergeCell ref="B64:L64"/>
    <mergeCell ref="G83:H83"/>
    <mergeCell ref="G84:H84"/>
    <mergeCell ref="G76:H76"/>
    <mergeCell ref="J68:K68"/>
    <mergeCell ref="J69:K69"/>
    <mergeCell ref="J70:K70"/>
    <mergeCell ref="B72:H72"/>
    <mergeCell ref="K58:L58"/>
    <mergeCell ref="K59:L59"/>
    <mergeCell ref="B14:C14"/>
    <mergeCell ref="D14:E14"/>
    <mergeCell ref="H19:I19"/>
    <mergeCell ref="H20:I20"/>
    <mergeCell ref="H21:I21"/>
    <mergeCell ref="B16:C16"/>
    <mergeCell ref="D16:H16"/>
    <mergeCell ref="H24:I24"/>
    <mergeCell ref="H25:I25"/>
    <mergeCell ref="B15:C15"/>
    <mergeCell ref="D15:E15"/>
    <mergeCell ref="B2:E2"/>
    <mergeCell ref="B7:C7"/>
    <mergeCell ref="B13:C13"/>
    <mergeCell ref="B12:C12"/>
    <mergeCell ref="B10:C10"/>
    <mergeCell ref="B9:C9"/>
    <mergeCell ref="B8:C8"/>
    <mergeCell ref="B6:C6"/>
    <mergeCell ref="B4:C4"/>
    <mergeCell ref="D3:E3"/>
    <mergeCell ref="D4:E4"/>
    <mergeCell ref="D13:E13"/>
    <mergeCell ref="B3:C3"/>
    <mergeCell ref="B5:C5"/>
    <mergeCell ref="B11:C11"/>
    <mergeCell ref="L49:P49"/>
    <mergeCell ref="H31:I31"/>
    <mergeCell ref="H37:I37"/>
    <mergeCell ref="H38:I38"/>
    <mergeCell ref="H41:I41"/>
    <mergeCell ref="H32:I32"/>
    <mergeCell ref="H33:I33"/>
    <mergeCell ref="H34:I34"/>
    <mergeCell ref="H35:I35"/>
    <mergeCell ref="H36:I36"/>
    <mergeCell ref="L43:P43"/>
    <mergeCell ref="L44:P44"/>
    <mergeCell ref="L45:P45"/>
    <mergeCell ref="L46:P46"/>
    <mergeCell ref="H44:I44"/>
    <mergeCell ref="H45:I45"/>
    <mergeCell ref="H46:I46"/>
    <mergeCell ref="H47:I47"/>
    <mergeCell ref="H42:I42"/>
    <mergeCell ref="L31:P31"/>
    <mergeCell ref="L32:P32"/>
  </mergeCells>
  <dataValidations xWindow="403" yWindow="405" count="10">
    <dataValidation type="list" allowBlank="1" showInputMessage="1" showErrorMessage="1" sqref="E42:E53" xr:uid="{00000000-0002-0000-0100-000000000000}">
      <formula1>"AC,DC"</formula1>
    </dataValidation>
    <dataValidation type="custom" allowBlank="1" showInputMessage="1" showErrorMessage="1" sqref="J38" xr:uid="{27FFF758-D8FB-445F-BE6B-8F48EBB74CDA}">
      <formula1>COUNTIF(J38,"ts*")+COUNTIF(J38,"glv*")</formula1>
    </dataValidation>
    <dataValidation type="list" allowBlank="1" showInputMessage="1" showErrorMessage="1" sqref="I66:I70" xr:uid="{EE7CF47C-5300-488D-95D7-2C884F7F0552}">
      <formula1>"NO,NC"</formula1>
    </dataValidation>
    <dataValidation type="list" errorStyle="information" showInputMessage="1" showErrorMessage="1" errorTitle="Uncommon Flammability Rating" error="The value you entered is not a common flammability rating._x000a__x000a_If your entry is correct, click OK to continue._x000a__x000a_Otherwise, please select from the dropdown list." sqref="H96:H105" xr:uid="{4FD941C4-C019-4661-9D4E-575D6A283117}">
      <formula1>"UL94 HB,UL94 V-0,UL94 V-1,UL94 V-2,UL94 5VA,UL94 5VB,UL94 VTM-0,UL94 VTM-1,UL94 VTM-2,UL94 HF-1,UL94 HF-2,FAR 25.853,FMVSS 302,UL224 VW-1,Other (enter manually)"</formula1>
    </dataValidation>
    <dataValidation allowBlank="1" showInputMessage="1" showErrorMessage="1" promptTitle="Maximum Cell Voltage" prompt="Enter the maximum cell voltage._x000a_-For most cells, this is approximately 4.2 V._x000a_-Teams may enter a lower value if limiting voltage to comply with rules (e.g. staying below the 600 V total tractive system limit or module energy limits)." sqref="D6" xr:uid="{6062D736-DC3E-4531-B8B4-56119C6A7BBC}"/>
    <dataValidation allowBlank="1" showInputMessage="1" showErrorMessage="1" promptTitle="Tractive System Conductors" prompt="List all conductors in the Tractive System, both inside and outside the Tractive Battery container._x000a_Include:_x000a_-HV bus bars_x000a_-HV interconnects between modules/inverter/motor/energy meter_x000a_-Low-current HV wires (e.g., IMD, energy meter sense input)" sqref="B20" xr:uid="{551A67F0-ECC5-47B0-B738-577FBA8C62C7}"/>
    <dataValidation allowBlank="1" showInputMessage="1" showErrorMessage="1" promptTitle="Fuses" prompt="List all fuses used in the Tractive System, including:_x000a_-Main fuse_x000a_-Cell parallel fuses_x000a_-BMS sense line fuses_x000a_-Any other fuses shown in schematics elsewhere in the ESF" sqref="B42" xr:uid="{661F95E1-2C71-41DE-A817-A5468D020E8A}"/>
    <dataValidation allowBlank="1" showInputMessage="1" showErrorMessage="1" promptTitle="Resistors" prompt="List all resistors used in the Tractive System, including:_x000a_-Precharge resistor_x000a_-Discharge resistor_x000a_-TSMP resistor_x000a_-Any additional resistors (e.g., HV divider resistors or others shown in schematics)" sqref="B57" xr:uid="{CE9EE683-9615-497E-8EE6-5C09C8A3102B}"/>
    <dataValidation allowBlank="1" showInputMessage="1" showErrorMessage="1" promptTitle="Relays" prompt="List all relays used in the Tractive System, including:_x000a_-Isolation relays_x000a_-Precharge relay_x000a_-Discharge relay" sqref="B66" xr:uid="{934D3FD7-C831-4667-8FD9-2FDE10739EB5}"/>
    <dataValidation allowBlank="1" showInputMessage="1" showErrorMessage="1" promptTitle="Connectors" prompt="List all connectors in the Tractive System, including both high-current and low-current._x000a_Examples:_x000a_-Main Service Disconnect (MSD)_x000a_-Maintenance plugs_x000a_-Tractive Battery pack connector(s)_x000a_-Connectors to inverter or motor_x000a_-HV sense connectors" sqref="B74" xr:uid="{B8745006-859A-496B-9F15-9D5FF206CE77}"/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5"/>
  <sheetViews>
    <sheetView zoomScaleNormal="100" workbookViewId="0"/>
  </sheetViews>
  <sheetFormatPr defaultColWidth="8.7109375" defaultRowHeight="13.5" x14ac:dyDescent="0.25"/>
  <cols>
    <col min="1" max="4" width="8.7109375" style="2"/>
    <col min="5" max="5" width="9.0703125" style="2" bestFit="1" customWidth="1"/>
    <col min="6" max="16384" width="8.7109375" style="2"/>
  </cols>
  <sheetData>
    <row r="1" spans="1:31" x14ac:dyDescent="0.25">
      <c r="A1" s="26" t="s">
        <v>1</v>
      </c>
      <c r="B1" s="12" t="str" cm="1">
        <f t="array" aca="1" ref="B1" ca="1">IF(SUM(COUNTIF(INDIRECT({"'TS Schematics'!$K$28","'TS Schematics'!$W$28","'TS Schematics'!$K$46"}), "="&amp;IncompleteText)), IncompleteText, IF(SUM(COUNTIF(INDIRECT({"'TS Schematics'!$K$28","'TS Schematics'!$W$28","'TS Schematics'!$K$46"}), "="&amp;ErrorText)), ErrorText, OKText))</f>
        <v>BLANK</v>
      </c>
    </row>
    <row r="2" spans="1:31" x14ac:dyDescent="0.25">
      <c r="A2" s="108" t="s">
        <v>66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M2" s="108" t="s">
        <v>346</v>
      </c>
      <c r="N2" s="108"/>
      <c r="O2" s="108"/>
      <c r="P2" s="108"/>
      <c r="Q2" s="108"/>
      <c r="R2" s="108"/>
      <c r="S2" s="108"/>
      <c r="T2" s="108"/>
      <c r="U2" s="108"/>
      <c r="V2" s="108"/>
      <c r="W2" s="108"/>
      <c r="Y2" s="46" t="s">
        <v>15</v>
      </c>
      <c r="Z2" s="46"/>
      <c r="AA2" s="46"/>
      <c r="AB2" s="46"/>
      <c r="AC2" s="46"/>
      <c r="AD2" s="46"/>
      <c r="AE2" s="46"/>
    </row>
    <row r="3" spans="1:31" x14ac:dyDescent="0.25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Y3" s="71"/>
      <c r="Z3" s="71"/>
      <c r="AA3" s="71"/>
      <c r="AB3" s="71"/>
      <c r="AC3" s="71"/>
      <c r="AD3" s="71"/>
      <c r="AE3" s="71"/>
    </row>
    <row r="4" spans="1:31" x14ac:dyDescent="0.25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Y4" s="74"/>
      <c r="Z4" s="74"/>
      <c r="AA4" s="74"/>
      <c r="AB4" s="74"/>
      <c r="AC4" s="74"/>
      <c r="AD4" s="74"/>
      <c r="AE4" s="74"/>
    </row>
    <row r="5" spans="1:31" x14ac:dyDescent="0.25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Y5" s="74"/>
      <c r="Z5" s="74"/>
      <c r="AA5" s="74"/>
      <c r="AB5" s="74"/>
      <c r="AC5" s="74"/>
      <c r="AD5" s="74"/>
      <c r="AE5" s="74"/>
    </row>
    <row r="6" spans="1:31" x14ac:dyDescent="0.25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Y6" s="74"/>
      <c r="Z6" s="74"/>
      <c r="AA6" s="74"/>
      <c r="AB6" s="74"/>
      <c r="AC6" s="74"/>
      <c r="AD6" s="74"/>
      <c r="AE6" s="74"/>
    </row>
    <row r="7" spans="1:31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Y7" s="74"/>
      <c r="Z7" s="74"/>
      <c r="AA7" s="74"/>
      <c r="AB7" s="74"/>
      <c r="AC7" s="74"/>
      <c r="AD7" s="74"/>
      <c r="AE7" s="74"/>
    </row>
    <row r="8" spans="1:31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Y8" s="74"/>
      <c r="Z8" s="74"/>
      <c r="AA8" s="74"/>
      <c r="AB8" s="74"/>
      <c r="AC8" s="74"/>
      <c r="AD8" s="74"/>
      <c r="AE8" s="74"/>
    </row>
    <row r="9" spans="1:31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Y9" s="74"/>
      <c r="Z9" s="74"/>
      <c r="AA9" s="74"/>
      <c r="AB9" s="74"/>
      <c r="AC9" s="74"/>
      <c r="AD9" s="74"/>
      <c r="AE9" s="74"/>
    </row>
    <row r="10" spans="1:31" x14ac:dyDescent="0.25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Y10" s="74"/>
      <c r="Z10" s="74"/>
      <c r="AA10" s="74"/>
      <c r="AB10" s="74"/>
      <c r="AC10" s="74"/>
      <c r="AD10" s="74"/>
      <c r="AE10" s="74"/>
    </row>
    <row r="11" spans="1:31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Y11" s="74"/>
      <c r="Z11" s="74"/>
      <c r="AA11" s="74"/>
      <c r="AB11" s="74"/>
      <c r="AC11" s="74"/>
      <c r="AD11" s="74"/>
      <c r="AE11" s="74"/>
    </row>
    <row r="12" spans="1:31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Y12" s="74"/>
      <c r="Z12" s="74"/>
      <c r="AA12" s="74"/>
      <c r="AB12" s="74"/>
      <c r="AC12" s="74"/>
      <c r="AD12" s="74"/>
      <c r="AE12" s="74"/>
    </row>
    <row r="13" spans="1:31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Y13" s="74"/>
      <c r="Z13" s="74"/>
      <c r="AA13" s="74"/>
      <c r="AB13" s="74"/>
      <c r="AC13" s="74"/>
      <c r="AD13" s="74"/>
      <c r="AE13" s="74"/>
    </row>
    <row r="14" spans="1:31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Y14" s="74"/>
      <c r="Z14" s="74"/>
      <c r="AA14" s="74"/>
      <c r="AB14" s="74"/>
      <c r="AC14" s="74"/>
      <c r="AD14" s="74"/>
      <c r="AE14" s="74"/>
    </row>
    <row r="15" spans="1:31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Y15" s="74"/>
      <c r="Z15" s="74"/>
      <c r="AA15" s="74"/>
      <c r="AB15" s="74"/>
      <c r="AC15" s="74"/>
      <c r="AD15" s="74"/>
      <c r="AE15" s="74"/>
    </row>
    <row r="16" spans="1:31" x14ac:dyDescent="0.2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Y16" s="74"/>
      <c r="Z16" s="74"/>
      <c r="AA16" s="74"/>
      <c r="AB16" s="74"/>
      <c r="AC16" s="74"/>
      <c r="AD16" s="74"/>
      <c r="AE16" s="74"/>
    </row>
    <row r="17" spans="1:31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Y17" s="74"/>
      <c r="Z17" s="74"/>
      <c r="AA17" s="74"/>
      <c r="AB17" s="74"/>
      <c r="AC17" s="74"/>
      <c r="AD17" s="74"/>
      <c r="AE17" s="74"/>
    </row>
    <row r="18" spans="1:31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Y18" s="74"/>
      <c r="Z18" s="74"/>
      <c r="AA18" s="74"/>
      <c r="AB18" s="74"/>
      <c r="AC18" s="74"/>
      <c r="AD18" s="74"/>
      <c r="AE18" s="74"/>
    </row>
    <row r="19" spans="1:31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Y19" s="74"/>
      <c r="Z19" s="74"/>
      <c r="AA19" s="74"/>
      <c r="AB19" s="74"/>
      <c r="AC19" s="74"/>
      <c r="AD19" s="74"/>
      <c r="AE19" s="74"/>
    </row>
    <row r="20" spans="1:31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Y20" s="74"/>
      <c r="Z20" s="74"/>
      <c r="AA20" s="74"/>
      <c r="AB20" s="74"/>
      <c r="AC20" s="74"/>
      <c r="AD20" s="74"/>
      <c r="AE20" s="74"/>
    </row>
    <row r="21" spans="1:31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Y21" s="74"/>
      <c r="Z21" s="74"/>
      <c r="AA21" s="74"/>
      <c r="AB21" s="74"/>
      <c r="AC21" s="74"/>
      <c r="AD21" s="74"/>
      <c r="AE21" s="74"/>
    </row>
    <row r="22" spans="1:31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Y22" s="74"/>
      <c r="Z22" s="74"/>
      <c r="AA22" s="74"/>
      <c r="AB22" s="74"/>
      <c r="AC22" s="74"/>
      <c r="AD22" s="74"/>
      <c r="AE22" s="74"/>
    </row>
    <row r="23" spans="1:31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Y23" s="74"/>
      <c r="Z23" s="74"/>
      <c r="AA23" s="74"/>
      <c r="AB23" s="74"/>
      <c r="AC23" s="74"/>
      <c r="AD23" s="74"/>
      <c r="AE23" s="74"/>
    </row>
    <row r="24" spans="1:31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Y24" s="74"/>
      <c r="Z24" s="74"/>
      <c r="AA24" s="74"/>
      <c r="AB24" s="74"/>
      <c r="AC24" s="74"/>
      <c r="AD24" s="74"/>
      <c r="AE24" s="74"/>
    </row>
    <row r="25" spans="1:31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Y25" s="74"/>
      <c r="Z25" s="74"/>
      <c r="AA25" s="74"/>
      <c r="AB25" s="74"/>
      <c r="AC25" s="74"/>
      <c r="AD25" s="74"/>
      <c r="AE25" s="74"/>
    </row>
    <row r="26" spans="1:31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Y26" s="74"/>
      <c r="Z26" s="74"/>
      <c r="AA26" s="74"/>
      <c r="AB26" s="74"/>
      <c r="AC26" s="74"/>
      <c r="AD26" s="74"/>
      <c r="AE26" s="74"/>
    </row>
    <row r="27" spans="1:31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Y27" s="74"/>
      <c r="Z27" s="74"/>
      <c r="AA27" s="74"/>
      <c r="AB27" s="74"/>
      <c r="AC27" s="74"/>
      <c r="AD27" s="74"/>
      <c r="AE27" s="74"/>
    </row>
    <row r="28" spans="1:31" x14ac:dyDescent="0.25">
      <c r="A28" s="46" t="s">
        <v>67</v>
      </c>
      <c r="B28" s="46"/>
      <c r="C28" s="46"/>
      <c r="D28" s="46"/>
      <c r="E28" s="46"/>
      <c r="F28" s="46"/>
      <c r="G28" s="46"/>
      <c r="H28" s="46"/>
      <c r="I28" s="46"/>
      <c r="J28" s="46"/>
      <c r="K28" s="102" t="str">
        <f>IF(COUNTIF(K30:K43, "="&amp;IncompleteText), IncompleteText, IF(COUNTIF(K30:K43, "="&amp;ErrorText), ErrorText, OKText))</f>
        <v>BLANK</v>
      </c>
      <c r="M28" s="46" t="s">
        <v>348</v>
      </c>
      <c r="N28" s="46"/>
      <c r="O28" s="46"/>
      <c r="P28" s="46"/>
      <c r="Q28" s="46"/>
      <c r="R28" s="46"/>
      <c r="S28" s="46"/>
      <c r="T28" s="46"/>
      <c r="U28" s="46"/>
      <c r="V28" s="46"/>
      <c r="W28" s="102" t="str">
        <f>IF(COUNTIF(W30:W41, "="&amp;IncompleteText), IncompleteText, IF(COUNTIF(W30:W41, "="&amp;ErrorText), ErrorText, OKText))</f>
        <v>BLANK</v>
      </c>
    </row>
    <row r="29" spans="1:31" x14ac:dyDescent="0.25">
      <c r="A29" s="106" t="s">
        <v>45</v>
      </c>
      <c r="B29" s="107"/>
      <c r="C29" s="22"/>
      <c r="D29" s="22"/>
      <c r="E29" s="22"/>
      <c r="F29" s="22"/>
      <c r="G29" s="22"/>
      <c r="H29" s="22"/>
      <c r="I29" s="22"/>
      <c r="J29" s="22"/>
      <c r="K29" s="103"/>
      <c r="M29" s="104" t="s">
        <v>45</v>
      </c>
      <c r="N29" s="105"/>
      <c r="O29" s="22"/>
      <c r="P29" s="22"/>
      <c r="Q29" s="22"/>
      <c r="R29" s="22"/>
      <c r="S29" s="22"/>
      <c r="T29" s="22"/>
      <c r="U29" s="22"/>
      <c r="V29" s="22"/>
      <c r="W29" s="103"/>
    </row>
    <row r="30" spans="1:31" x14ac:dyDescent="0.25">
      <c r="A30" s="101"/>
      <c r="B30" s="101"/>
      <c r="C30" s="83" t="s">
        <v>353</v>
      </c>
      <c r="D30" s="83"/>
      <c r="E30" s="83"/>
      <c r="F30" s="83"/>
      <c r="G30" s="83"/>
      <c r="H30" s="83"/>
      <c r="I30" s="85"/>
      <c r="J30" s="3"/>
      <c r="K30" s="12" t="str">
        <f t="shared" ref="K30:K53" si="0">IF(ISBLANK(J30),IncompleteText, IF(J30, OKText, ErrorText))</f>
        <v>BLANK</v>
      </c>
      <c r="M30" s="101"/>
      <c r="N30" s="101"/>
      <c r="O30" s="83" t="s">
        <v>350</v>
      </c>
      <c r="P30" s="83"/>
      <c r="Q30" s="83"/>
      <c r="R30" s="83"/>
      <c r="S30" s="83"/>
      <c r="T30" s="83"/>
      <c r="U30" s="85"/>
      <c r="V30" s="3"/>
      <c r="W30" s="12" t="str">
        <f t="shared" ref="W30:W40" si="1">IF(ISBLANK(V30),IncompleteText, IF(V30, OKText, ErrorText))</f>
        <v>BLANK</v>
      </c>
    </row>
    <row r="31" spans="1:31" x14ac:dyDescent="0.25">
      <c r="A31" s="100"/>
      <c r="B31" s="100"/>
      <c r="C31" s="83" t="s">
        <v>351</v>
      </c>
      <c r="D31" s="83"/>
      <c r="E31" s="83"/>
      <c r="F31" s="83"/>
      <c r="G31" s="83"/>
      <c r="H31" s="83"/>
      <c r="I31" s="85"/>
      <c r="J31" s="3"/>
      <c r="K31" s="12" t="str">
        <f t="shared" si="0"/>
        <v>BLANK</v>
      </c>
      <c r="M31" s="100"/>
      <c r="N31" s="100"/>
      <c r="O31" s="83" t="s">
        <v>68</v>
      </c>
      <c r="P31" s="83"/>
      <c r="Q31" s="83"/>
      <c r="R31" s="83"/>
      <c r="S31" s="83"/>
      <c r="T31" s="83"/>
      <c r="U31" s="85"/>
      <c r="V31" s="3"/>
      <c r="W31" s="12" t="str">
        <f t="shared" si="1"/>
        <v>BLANK</v>
      </c>
    </row>
    <row r="32" spans="1:31" x14ac:dyDescent="0.25">
      <c r="A32" s="100"/>
      <c r="B32" s="100"/>
      <c r="C32" s="83" t="s">
        <v>68</v>
      </c>
      <c r="D32" s="83"/>
      <c r="E32" s="83"/>
      <c r="F32" s="83"/>
      <c r="G32" s="83"/>
      <c r="H32" s="83"/>
      <c r="I32" s="85"/>
      <c r="J32" s="3"/>
      <c r="K32" s="12" t="str">
        <f t="shared" si="0"/>
        <v>BLANK</v>
      </c>
      <c r="M32" s="100"/>
      <c r="N32" s="100"/>
      <c r="O32" s="83" t="s">
        <v>69</v>
      </c>
      <c r="P32" s="83"/>
      <c r="Q32" s="83"/>
      <c r="R32" s="83"/>
      <c r="S32" s="83"/>
      <c r="T32" s="83"/>
      <c r="U32" s="85"/>
      <c r="V32" s="3"/>
      <c r="W32" s="12" t="str">
        <f t="shared" si="1"/>
        <v>BLANK</v>
      </c>
    </row>
    <row r="33" spans="1:23" x14ac:dyDescent="0.25">
      <c r="A33" s="100"/>
      <c r="B33" s="100"/>
      <c r="C33" s="83" t="s">
        <v>69</v>
      </c>
      <c r="D33" s="83"/>
      <c r="E33" s="83"/>
      <c r="F33" s="83"/>
      <c r="G33" s="83"/>
      <c r="H33" s="83"/>
      <c r="I33" s="85"/>
      <c r="J33" s="3"/>
      <c r="K33" s="12" t="str">
        <f t="shared" si="0"/>
        <v>BLANK</v>
      </c>
      <c r="M33" s="100" t="s">
        <v>374</v>
      </c>
      <c r="N33" s="100"/>
      <c r="O33" s="83" t="s">
        <v>255</v>
      </c>
      <c r="P33" s="83"/>
      <c r="Q33" s="83"/>
      <c r="R33" s="83"/>
      <c r="S33" s="83"/>
      <c r="T33" s="83"/>
      <c r="U33" s="85"/>
      <c r="V33" s="3"/>
      <c r="W33" s="12" t="str">
        <f t="shared" si="1"/>
        <v>BLANK</v>
      </c>
    </row>
    <row r="34" spans="1:23" x14ac:dyDescent="0.25">
      <c r="A34" s="100" t="s">
        <v>374</v>
      </c>
      <c r="B34" s="100"/>
      <c r="C34" s="83" t="s">
        <v>255</v>
      </c>
      <c r="D34" s="83"/>
      <c r="E34" s="83"/>
      <c r="F34" s="83"/>
      <c r="G34" s="83"/>
      <c r="H34" s="83"/>
      <c r="I34" s="85"/>
      <c r="J34" s="3"/>
      <c r="K34" s="12" t="str">
        <f t="shared" si="0"/>
        <v>BLANK</v>
      </c>
      <c r="M34" s="90"/>
      <c r="N34" s="90"/>
      <c r="O34" s="83" t="s">
        <v>70</v>
      </c>
      <c r="P34" s="83"/>
      <c r="Q34" s="83"/>
      <c r="R34" s="83"/>
      <c r="S34" s="83"/>
      <c r="T34" s="83"/>
      <c r="U34" s="85"/>
      <c r="V34" s="3"/>
      <c r="W34" s="12" t="str">
        <f t="shared" si="1"/>
        <v>BLANK</v>
      </c>
    </row>
    <row r="35" spans="1:23" x14ac:dyDescent="0.25">
      <c r="A35" s="100"/>
      <c r="B35" s="100"/>
      <c r="C35" s="83" t="s">
        <v>70</v>
      </c>
      <c r="D35" s="83"/>
      <c r="E35" s="83"/>
      <c r="F35" s="83"/>
      <c r="G35" s="83"/>
      <c r="H35" s="83"/>
      <c r="I35" s="85"/>
      <c r="J35" s="3"/>
      <c r="K35" s="12" t="str">
        <f t="shared" si="0"/>
        <v>BLANK</v>
      </c>
      <c r="M35" s="100"/>
      <c r="N35" s="100"/>
      <c r="O35" s="83" t="s">
        <v>71</v>
      </c>
      <c r="P35" s="83"/>
      <c r="Q35" s="83"/>
      <c r="R35" s="83"/>
      <c r="S35" s="83"/>
      <c r="T35" s="83"/>
      <c r="U35" s="85"/>
      <c r="V35" s="3"/>
      <c r="W35" s="12" t="str">
        <f t="shared" si="1"/>
        <v>BLANK</v>
      </c>
    </row>
    <row r="36" spans="1:23" x14ac:dyDescent="0.25">
      <c r="A36" s="100"/>
      <c r="B36" s="100"/>
      <c r="C36" s="83" t="s">
        <v>72</v>
      </c>
      <c r="D36" s="83"/>
      <c r="E36" s="83"/>
      <c r="F36" s="83"/>
      <c r="G36" s="83"/>
      <c r="H36" s="83"/>
      <c r="I36" s="85"/>
      <c r="J36" s="3"/>
      <c r="K36" s="12" t="str">
        <f t="shared" si="0"/>
        <v>BLANK</v>
      </c>
      <c r="M36" s="100"/>
      <c r="N36" s="100"/>
      <c r="O36" s="83" t="s">
        <v>73</v>
      </c>
      <c r="P36" s="83"/>
      <c r="Q36" s="83"/>
      <c r="R36" s="83"/>
      <c r="S36" s="83"/>
      <c r="T36" s="83"/>
      <c r="U36" s="85"/>
      <c r="V36" s="3"/>
      <c r="W36" s="12" t="str">
        <f t="shared" si="1"/>
        <v>BLANK</v>
      </c>
    </row>
    <row r="37" spans="1:23" x14ac:dyDescent="0.25">
      <c r="A37" s="100"/>
      <c r="B37" s="100"/>
      <c r="C37" s="83" t="s">
        <v>71</v>
      </c>
      <c r="D37" s="83"/>
      <c r="E37" s="83"/>
      <c r="F37" s="83"/>
      <c r="G37" s="83"/>
      <c r="H37" s="83"/>
      <c r="I37" s="85"/>
      <c r="J37" s="3"/>
      <c r="K37" s="12" t="str">
        <f t="shared" si="0"/>
        <v>BLANK</v>
      </c>
      <c r="M37" s="100"/>
      <c r="N37" s="100"/>
      <c r="O37" s="83" t="s">
        <v>74</v>
      </c>
      <c r="P37" s="83"/>
      <c r="Q37" s="83"/>
      <c r="R37" s="83"/>
      <c r="S37" s="83"/>
      <c r="T37" s="83"/>
      <c r="U37" s="85"/>
      <c r="V37" s="3"/>
      <c r="W37" s="12" t="str">
        <f t="shared" si="1"/>
        <v>BLANK</v>
      </c>
    </row>
    <row r="38" spans="1:23" x14ac:dyDescent="0.25">
      <c r="A38" s="100"/>
      <c r="B38" s="100"/>
      <c r="C38" s="83" t="s">
        <v>73</v>
      </c>
      <c r="D38" s="83"/>
      <c r="E38" s="83"/>
      <c r="F38" s="83"/>
      <c r="G38" s="83"/>
      <c r="H38" s="83"/>
      <c r="I38" s="85"/>
      <c r="J38" s="3"/>
      <c r="K38" s="12" t="str">
        <f t="shared" si="0"/>
        <v>BLANK</v>
      </c>
      <c r="M38" s="100" t="s">
        <v>266</v>
      </c>
      <c r="N38" s="100"/>
      <c r="O38" s="83" t="s">
        <v>283</v>
      </c>
      <c r="P38" s="83"/>
      <c r="Q38" s="83"/>
      <c r="R38" s="83"/>
      <c r="S38" s="83"/>
      <c r="T38" s="83"/>
      <c r="U38" s="85"/>
      <c r="V38" s="3"/>
      <c r="W38" s="12" t="str">
        <f t="shared" si="1"/>
        <v>BLANK</v>
      </c>
    </row>
    <row r="39" spans="1:23" x14ac:dyDescent="0.25">
      <c r="A39" s="100"/>
      <c r="B39" s="100"/>
      <c r="C39" s="83" t="s">
        <v>74</v>
      </c>
      <c r="D39" s="83"/>
      <c r="E39" s="83"/>
      <c r="F39" s="83"/>
      <c r="G39" s="83"/>
      <c r="H39" s="83"/>
      <c r="I39" s="85"/>
      <c r="J39" s="3"/>
      <c r="K39" s="12" t="str">
        <f t="shared" si="0"/>
        <v>BLANK</v>
      </c>
      <c r="M39" s="100" t="s">
        <v>267</v>
      </c>
      <c r="N39" s="100"/>
      <c r="O39" s="83" t="s">
        <v>75</v>
      </c>
      <c r="P39" s="83"/>
      <c r="Q39" s="83"/>
      <c r="R39" s="83"/>
      <c r="S39" s="83"/>
      <c r="T39" s="83"/>
      <c r="U39" s="85"/>
      <c r="V39" s="3"/>
      <c r="W39" s="12" t="str">
        <f t="shared" si="1"/>
        <v>BLANK</v>
      </c>
    </row>
    <row r="40" spans="1:23" x14ac:dyDescent="0.25">
      <c r="A40" s="100" t="s">
        <v>264</v>
      </c>
      <c r="B40" s="100"/>
      <c r="C40" s="83" t="s">
        <v>76</v>
      </c>
      <c r="D40" s="83"/>
      <c r="E40" s="83"/>
      <c r="F40" s="83"/>
      <c r="G40" s="83"/>
      <c r="H40" s="83"/>
      <c r="I40" s="85"/>
      <c r="J40" s="3"/>
      <c r="K40" s="12" t="str">
        <f t="shared" si="0"/>
        <v>BLANK</v>
      </c>
      <c r="M40" s="100"/>
      <c r="N40" s="100"/>
      <c r="O40" s="83" t="s">
        <v>77</v>
      </c>
      <c r="P40" s="83"/>
      <c r="Q40" s="83"/>
      <c r="R40" s="83"/>
      <c r="S40" s="83"/>
      <c r="T40" s="83"/>
      <c r="U40" s="85"/>
      <c r="V40" s="3"/>
      <c r="W40" s="12" t="str">
        <f t="shared" si="1"/>
        <v>BLANK</v>
      </c>
    </row>
    <row r="41" spans="1:23" x14ac:dyDescent="0.25">
      <c r="A41" s="100"/>
      <c r="B41" s="100"/>
      <c r="C41" s="83" t="s">
        <v>78</v>
      </c>
      <c r="D41" s="83"/>
      <c r="E41" s="83"/>
      <c r="F41" s="83"/>
      <c r="G41" s="83"/>
      <c r="H41" s="83"/>
      <c r="I41" s="85"/>
      <c r="J41" s="3"/>
      <c r="K41" s="12" t="str">
        <f t="shared" si="0"/>
        <v>BLANK</v>
      </c>
      <c r="M41" s="100" t="s">
        <v>375</v>
      </c>
      <c r="N41" s="100"/>
      <c r="O41" s="83" t="s">
        <v>354</v>
      </c>
      <c r="P41" s="83"/>
      <c r="Q41" s="83"/>
      <c r="R41" s="83"/>
      <c r="S41" s="83"/>
      <c r="T41" s="83"/>
      <c r="U41" s="85"/>
      <c r="V41" s="3"/>
      <c r="W41" s="12" t="str">
        <f t="shared" ref="W41" si="2">IF(ISBLANK(V41),IncompleteText, IF(V41, OKText, ErrorText))</f>
        <v>BLANK</v>
      </c>
    </row>
    <row r="42" spans="1:23" x14ac:dyDescent="0.25">
      <c r="A42" s="100"/>
      <c r="B42" s="100"/>
      <c r="C42" s="83" t="s">
        <v>79</v>
      </c>
      <c r="D42" s="83"/>
      <c r="E42" s="83"/>
      <c r="F42" s="83"/>
      <c r="G42" s="83"/>
      <c r="H42" s="83"/>
      <c r="I42" s="85"/>
      <c r="J42" s="3"/>
      <c r="K42" s="12" t="str">
        <f t="shared" si="0"/>
        <v>BLANK</v>
      </c>
    </row>
    <row r="43" spans="1:23" x14ac:dyDescent="0.25">
      <c r="A43" s="100" t="s">
        <v>265</v>
      </c>
      <c r="B43" s="100"/>
      <c r="C43" s="83" t="s">
        <v>80</v>
      </c>
      <c r="D43" s="83"/>
      <c r="E43" s="83"/>
      <c r="F43" s="83"/>
      <c r="G43" s="83"/>
      <c r="H43" s="83"/>
      <c r="I43" s="85"/>
      <c r="J43" s="3"/>
      <c r="K43" s="12" t="str">
        <f t="shared" si="0"/>
        <v>BLANK</v>
      </c>
    </row>
    <row r="46" spans="1:23" x14ac:dyDescent="0.25">
      <c r="A46" s="46" t="s">
        <v>81</v>
      </c>
      <c r="B46" s="46"/>
      <c r="C46" s="46"/>
      <c r="D46" s="46"/>
      <c r="E46" s="46"/>
      <c r="F46" s="46"/>
      <c r="G46" s="46"/>
      <c r="H46" s="46"/>
      <c r="I46" s="46"/>
      <c r="J46" s="46"/>
      <c r="K46" s="103" t="str">
        <f>IF(COUNTIF(K48:K55, "="&amp;IncompleteText), IncompleteText, IF(COUNTIF(K48:K55, "="&amp;ErrorText), ErrorText, OKText))</f>
        <v>BLANK</v>
      </c>
    </row>
    <row r="47" spans="1:23" x14ac:dyDescent="0.25">
      <c r="A47" s="104" t="s">
        <v>45</v>
      </c>
      <c r="B47" s="105"/>
      <c r="C47" s="22"/>
      <c r="D47" s="22"/>
      <c r="E47" s="22"/>
      <c r="F47" s="22"/>
      <c r="G47" s="22"/>
      <c r="H47" s="22"/>
      <c r="I47" s="22"/>
      <c r="J47" s="22"/>
      <c r="K47" s="103"/>
    </row>
    <row r="48" spans="1:23" x14ac:dyDescent="0.25">
      <c r="A48" s="101" t="s">
        <v>376</v>
      </c>
      <c r="B48" s="101"/>
      <c r="C48" s="83" t="s">
        <v>82</v>
      </c>
      <c r="D48" s="83"/>
      <c r="E48" s="83"/>
      <c r="F48" s="83"/>
      <c r="G48" s="83"/>
      <c r="H48" s="83"/>
      <c r="I48" s="85"/>
      <c r="J48" s="3"/>
      <c r="K48" s="12" t="str">
        <f t="shared" si="0"/>
        <v>BLANK</v>
      </c>
    </row>
    <row r="49" spans="1:11" x14ac:dyDescent="0.25">
      <c r="A49" s="100" t="s">
        <v>269</v>
      </c>
      <c r="B49" s="100"/>
      <c r="C49" s="83" t="s">
        <v>284</v>
      </c>
      <c r="D49" s="83"/>
      <c r="E49" s="83"/>
      <c r="F49" s="83"/>
      <c r="G49" s="83"/>
      <c r="H49" s="83"/>
      <c r="I49" s="85"/>
      <c r="J49" s="3"/>
      <c r="K49" s="12" t="str">
        <f t="shared" si="0"/>
        <v>BLANK</v>
      </c>
    </row>
    <row r="50" spans="1:11" x14ac:dyDescent="0.25">
      <c r="A50" s="100" t="s">
        <v>270</v>
      </c>
      <c r="B50" s="100"/>
      <c r="C50" s="83" t="s">
        <v>83</v>
      </c>
      <c r="D50" s="83"/>
      <c r="E50" s="83"/>
      <c r="F50" s="83"/>
      <c r="G50" s="83"/>
      <c r="H50" s="83"/>
      <c r="I50" s="85"/>
      <c r="J50" s="3"/>
      <c r="K50" s="12" t="str">
        <f t="shared" si="0"/>
        <v>BLANK</v>
      </c>
    </row>
    <row r="51" spans="1:11" x14ac:dyDescent="0.25">
      <c r="A51" s="100" t="s">
        <v>270</v>
      </c>
      <c r="B51" s="100"/>
      <c r="C51" s="83" t="s">
        <v>84</v>
      </c>
      <c r="D51" s="83"/>
      <c r="E51" s="83"/>
      <c r="F51" s="83"/>
      <c r="G51" s="83"/>
      <c r="H51" s="83"/>
      <c r="I51" s="85"/>
      <c r="J51" s="3"/>
      <c r="K51" s="12" t="str">
        <f t="shared" si="0"/>
        <v>BLANK</v>
      </c>
    </row>
    <row r="52" spans="1:11" x14ac:dyDescent="0.25">
      <c r="A52" s="100" t="s">
        <v>335</v>
      </c>
      <c r="B52" s="100"/>
      <c r="C52" s="83" t="s">
        <v>319</v>
      </c>
      <c r="D52" s="83"/>
      <c r="E52" s="83"/>
      <c r="F52" s="83"/>
      <c r="G52" s="83"/>
      <c r="H52" s="83"/>
      <c r="I52" s="85"/>
      <c r="J52" s="3"/>
      <c r="K52" s="12" t="str">
        <f t="shared" si="0"/>
        <v>BLANK</v>
      </c>
    </row>
    <row r="53" spans="1:11" x14ac:dyDescent="0.25">
      <c r="A53" s="100" t="s">
        <v>301</v>
      </c>
      <c r="B53" s="100"/>
      <c r="C53" s="83" t="s">
        <v>300</v>
      </c>
      <c r="D53" s="83"/>
      <c r="E53" s="83"/>
      <c r="F53" s="83"/>
      <c r="G53" s="83"/>
      <c r="H53" s="83"/>
      <c r="I53" s="85"/>
      <c r="J53" s="3"/>
      <c r="K53" s="12" t="str">
        <f t="shared" si="0"/>
        <v>BLANK</v>
      </c>
    </row>
    <row r="54" spans="1:11" x14ac:dyDescent="0.25">
      <c r="A54" s="100" t="s">
        <v>285</v>
      </c>
      <c r="B54" s="100"/>
      <c r="C54" s="83" t="s">
        <v>85</v>
      </c>
      <c r="D54" s="83"/>
      <c r="E54" s="83"/>
      <c r="F54" s="83"/>
      <c r="G54" s="83"/>
      <c r="H54" s="83"/>
      <c r="I54" s="85"/>
      <c r="J54" s="3"/>
      <c r="K54" s="12" t="str">
        <f t="shared" ref="K54:K55" si="3">IF(ISBLANK(J54),IncompleteText, IF(J54, OKText, ErrorText))</f>
        <v>BLANK</v>
      </c>
    </row>
    <row r="55" spans="1:11" x14ac:dyDescent="0.25">
      <c r="A55" s="100" t="s">
        <v>407</v>
      </c>
      <c r="B55" s="100"/>
      <c r="C55" s="83" t="s">
        <v>408</v>
      </c>
      <c r="D55" s="83"/>
      <c r="E55" s="83"/>
      <c r="F55" s="83"/>
      <c r="G55" s="83"/>
      <c r="H55" s="83"/>
      <c r="I55" s="85"/>
      <c r="J55" s="3"/>
      <c r="K55" s="12" t="str">
        <f t="shared" si="3"/>
        <v>BLANK</v>
      </c>
    </row>
  </sheetData>
  <sheetProtection algorithmName="SHA-512" hashValue="sBHypVbJjliLIgGpVnFmQY2FpwBJiX/ZAVs3UQuR/HZSQvirYcuCJE1cLDzSRkwL0oJBkk7ORr5VeARqjin2SQ==" saltValue="KuNHsH0ZPJhT8I03vljmJw==" spinCount="100000" sheet="1" scenarios="1" insertHyperlinks="0"/>
  <mergeCells count="81">
    <mergeCell ref="M33:N33"/>
    <mergeCell ref="O33:U33"/>
    <mergeCell ref="M34:N34"/>
    <mergeCell ref="A52:B52"/>
    <mergeCell ref="A47:B47"/>
    <mergeCell ref="C33:I33"/>
    <mergeCell ref="C35:I35"/>
    <mergeCell ref="C36:I36"/>
    <mergeCell ref="C37:I37"/>
    <mergeCell ref="C38:I38"/>
    <mergeCell ref="C34:I34"/>
    <mergeCell ref="C42:I42"/>
    <mergeCell ref="C43:I43"/>
    <mergeCell ref="A34:B34"/>
    <mergeCell ref="M41:N41"/>
    <mergeCell ref="M40:N40"/>
    <mergeCell ref="C30:I30"/>
    <mergeCell ref="Y2:AE2"/>
    <mergeCell ref="Y3:AE27"/>
    <mergeCell ref="C31:I31"/>
    <mergeCell ref="C32:I32"/>
    <mergeCell ref="O30:U30"/>
    <mergeCell ref="O31:U31"/>
    <mergeCell ref="O32:U32"/>
    <mergeCell ref="M30:N30"/>
    <mergeCell ref="M31:N31"/>
    <mergeCell ref="M32:N32"/>
    <mergeCell ref="M2:W27"/>
    <mergeCell ref="M28:V28"/>
    <mergeCell ref="A2:K27"/>
    <mergeCell ref="A28:J28"/>
    <mergeCell ref="K28:K29"/>
    <mergeCell ref="A30:B30"/>
    <mergeCell ref="A31:B31"/>
    <mergeCell ref="A32:B32"/>
    <mergeCell ref="A33:B33"/>
    <mergeCell ref="A29:B29"/>
    <mergeCell ref="W28:W29"/>
    <mergeCell ref="M29:N29"/>
    <mergeCell ref="K46:K47"/>
    <mergeCell ref="A46:J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C39:I39"/>
    <mergeCell ref="C40:I40"/>
    <mergeCell ref="C41:I41"/>
    <mergeCell ref="O41:U41"/>
    <mergeCell ref="O40:U40"/>
    <mergeCell ref="O39:U39"/>
    <mergeCell ref="O38:U38"/>
    <mergeCell ref="O37:U37"/>
    <mergeCell ref="O34:U34"/>
    <mergeCell ref="O35:U35"/>
    <mergeCell ref="O36:U36"/>
    <mergeCell ref="M39:N39"/>
    <mergeCell ref="M38:N38"/>
    <mergeCell ref="M37:N37"/>
    <mergeCell ref="M36:N36"/>
    <mergeCell ref="A55:B55"/>
    <mergeCell ref="C55:I55"/>
    <mergeCell ref="A54:B54"/>
    <mergeCell ref="C54:I54"/>
    <mergeCell ref="M35:N35"/>
    <mergeCell ref="A53:B53"/>
    <mergeCell ref="C53:I53"/>
    <mergeCell ref="A48:B48"/>
    <mergeCell ref="A49:B49"/>
    <mergeCell ref="A50:B50"/>
    <mergeCell ref="A51:B51"/>
    <mergeCell ref="C48:I48"/>
    <mergeCell ref="C49:I49"/>
    <mergeCell ref="C50:I50"/>
    <mergeCell ref="C51:I51"/>
    <mergeCell ref="C52:I52"/>
  </mergeCells>
  <dataValidations count="2">
    <dataValidation type="list" allowBlank="1" showInputMessage="1" showErrorMessage="1" sqref="J35:J45 J48:J55 J30:J33 V30:V32 V34:V42" xr:uid="{00000000-0002-0000-0200-000000000000}">
      <formula1>"TRUE,FALSE"</formula1>
    </dataValidation>
    <dataValidation type="list" allowBlank="1" showInputMessage="1" showErrorMessage="1" promptTitle="Branch Fuse Location" prompt="On the schematic, show the length of every TS conductor branch. If a fuse is present, it must be within 150 mm of the source." sqref="J34 V33" xr:uid="{32B399C7-F712-4028-9624-C9B1173BB53D}">
      <formula1>"TRUE,FALSE"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C94"/>
  <sheetViews>
    <sheetView zoomScaleNormal="100" workbookViewId="0"/>
  </sheetViews>
  <sheetFormatPr defaultColWidth="8.7109375" defaultRowHeight="13.5" x14ac:dyDescent="0.25"/>
  <cols>
    <col min="1" max="2" width="8.7109375" style="2" customWidth="1"/>
    <col min="3" max="3" width="8.7109375" style="2"/>
    <col min="4" max="5" width="8.7109375" style="2" hidden="1" customWidth="1"/>
    <col min="6" max="6" width="8.7109375" style="2"/>
    <col min="7" max="7" width="10.28515625" style="2" customWidth="1"/>
    <col min="8" max="9" width="8.7109375" style="2"/>
    <col min="10" max="10" width="13.7109375" style="2" bestFit="1" customWidth="1"/>
    <col min="11" max="15" width="8.7109375" style="2"/>
    <col min="16" max="16" width="8.92578125" style="2" bestFit="1" customWidth="1"/>
    <col min="17" max="17" width="9.0703125" style="2" bestFit="1" customWidth="1"/>
    <col min="18" max="18" width="8.7109375" style="2"/>
    <col min="19" max="19" width="13.7109375" style="2" bestFit="1" customWidth="1"/>
    <col min="20" max="27" width="8.7109375" style="2"/>
    <col min="28" max="28" width="13.7109375" style="2" bestFit="1" customWidth="1"/>
    <col min="29" max="36" width="8.7109375" style="2"/>
    <col min="37" max="37" width="13.7109375" style="2" bestFit="1" customWidth="1"/>
    <col min="38" max="45" width="8.7109375" style="2"/>
    <col min="46" max="46" width="13.7109375" style="2" bestFit="1" customWidth="1"/>
    <col min="47" max="54" width="8.7109375" style="2"/>
    <col min="55" max="55" width="13.7109375" style="2" bestFit="1" customWidth="1"/>
    <col min="56" max="16384" width="8.7109375" style="2"/>
  </cols>
  <sheetData>
    <row r="1" spans="1:39" ht="13.75" x14ac:dyDescent="0.25">
      <c r="A1" s="26" t="s">
        <v>1</v>
      </c>
      <c r="B1" s="12" t="str">
        <f ca="1">IF(
    OR(
        'Tractive Battery'!$I$4=IncompleteText,
        'Tractive Battery'!$L$8=IncompleteText,
        'Tractive Battery'!$S$8=IncompleteText,
        'Tractive Battery'!$Y$8=IncompleteText,
        'Tractive Battery'!$AF$8=IncompleteText,
        'Tractive Battery'!$AB$53=IncompleteText,
        'Tractive Battery'!$S$53=IncompleteText,
        'Tractive Battery'!$J$53=IncompleteText,
        'Tractive Battery'!$H$63=IncompleteText,
        'Tractive Battery'!$AK$53=IncompleteText,
        'Tractive Battery'!$AT$53=IncompleteText,
        'Tractive Battery'!$BC$53=IncompleteText
    ),
    IncompleteText,
    IF(
        OR(
            'Tractive Battery'!$I$4=ErrorText,
            'Tractive Battery'!$L$8=ErrorText,
            'Tractive Battery'!$S$8=ErrorText,
            'Tractive Battery'!$Y$8=ErrorText,
            'Tractive Battery'!$AF$8=ErrorText,
            'Tractive Battery'!$AB$53=ErrorText,
            'Tractive Battery'!$S$53=ErrorText,
            'Tractive Battery'!$J$53=ErrorText,
            'Tractive Battery'!$H$63=ErrorText,
            'Tractive Battery'!$AK$53=ErrorText,
            'Tractive Battery'!$AT$53=ErrorText,
            'Tractive Battery'!$BC$53=ErrorText
        ),
        ErrorText,
        OKText
    )
)</f>
        <v>BLANK</v>
      </c>
    </row>
    <row r="4" spans="1:39" ht="13.75" x14ac:dyDescent="0.25">
      <c r="A4" s="83" t="s">
        <v>86</v>
      </c>
      <c r="B4" s="83"/>
      <c r="C4" s="83"/>
      <c r="D4" s="83"/>
      <c r="E4" s="83"/>
      <c r="F4" s="85"/>
      <c r="G4" s="4">
        <f>SUM(C12:C29)*BattCellMaxV</f>
        <v>0</v>
      </c>
      <c r="H4" t="s">
        <v>13</v>
      </c>
      <c r="I4" s="12" t="str">
        <f>IF(G4 &gt; 600, ErrorText, OKText)</f>
        <v>OK</v>
      </c>
    </row>
    <row r="5" spans="1:39" ht="13.75" x14ac:dyDescent="0.25">
      <c r="A5" s="83" t="s">
        <v>87</v>
      </c>
      <c r="B5" s="83"/>
      <c r="C5" s="83"/>
      <c r="D5" s="83"/>
      <c r="E5" s="83"/>
      <c r="F5" s="85"/>
      <c r="G5" s="4">
        <f>SUM(C12:C29)*BattCellNomV</f>
        <v>0</v>
      </c>
      <c r="H5" t="s">
        <v>13</v>
      </c>
    </row>
    <row r="6" spans="1:39" ht="13.75" x14ac:dyDescent="0.25">
      <c r="A6" s="83" t="s">
        <v>88</v>
      </c>
      <c r="B6" s="83"/>
      <c r="C6" s="83"/>
      <c r="D6" s="83"/>
      <c r="E6" s="83"/>
      <c r="F6" s="85"/>
      <c r="G6" s="4">
        <f>SUMPRODUCT(B12:B29,C12:C29)</f>
        <v>0</v>
      </c>
      <c r="H6"/>
    </row>
    <row r="8" spans="1:39" ht="13.75" x14ac:dyDescent="0.25">
      <c r="A8" s="46" t="s">
        <v>340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12" t="str">
        <f>IF(COUNTIF(L9:L29, "="&amp;IncompleteText), IncompleteText, IF(COUNTIF(L9:L29, "="&amp;ErrorText), ErrorText, OKText))</f>
        <v>BLANK</v>
      </c>
      <c r="M8" s="46" t="s">
        <v>89</v>
      </c>
      <c r="N8" s="46"/>
      <c r="O8" s="46"/>
      <c r="P8" s="46"/>
      <c r="Q8" s="46"/>
      <c r="R8" s="46"/>
      <c r="S8" s="12" t="str">
        <f ca="1">IF(COUNTIF(S9:S32, "="&amp;IncompleteText), IncompleteText, IF(COUNTIF(S9:S32, "="&amp;ErrorText), ErrorText, OKText))</f>
        <v>BLANK</v>
      </c>
      <c r="T8" s="46" t="s">
        <v>90</v>
      </c>
      <c r="U8" s="46"/>
      <c r="V8" s="46"/>
      <c r="W8" s="46"/>
      <c r="X8" s="46"/>
      <c r="Y8" s="12" t="str">
        <f ca="1">IF(COUNTIF(Y9:Y28, "="&amp;IncompleteText), IncompleteText, IF(COUNTIF(Y9:Y28, "="&amp;ErrorText), ErrorText, OKText))</f>
        <v>BLANK</v>
      </c>
      <c r="Z8" s="46" t="s">
        <v>61</v>
      </c>
      <c r="AA8" s="46"/>
      <c r="AB8" s="46"/>
      <c r="AC8" s="46"/>
      <c r="AD8" s="46"/>
      <c r="AE8" s="46"/>
      <c r="AF8" s="12" t="str">
        <f ca="1">IF(COUNTIF(AF9:AF20, "="&amp;IncompleteText), IncompleteText, IF(COUNTIF(AF9:AF20, "="&amp;ErrorText), ErrorText, OKText))</f>
        <v>BLANK</v>
      </c>
      <c r="AG8" s="46" t="s">
        <v>15</v>
      </c>
      <c r="AH8" s="46"/>
      <c r="AI8" s="46"/>
      <c r="AJ8" s="46"/>
      <c r="AK8" s="46"/>
      <c r="AL8" s="46"/>
      <c r="AM8" s="46"/>
    </row>
    <row r="9" spans="1:39" ht="13.65" customHeight="1" x14ac:dyDescent="0.25">
      <c r="A9" s="83" t="s">
        <v>91</v>
      </c>
      <c r="B9" s="83"/>
      <c r="C9" s="85"/>
      <c r="D9" s="26"/>
      <c r="E9" s="26"/>
      <c r="F9" s="109"/>
      <c r="G9" s="110"/>
      <c r="H9"/>
      <c r="I9"/>
      <c r="J9"/>
      <c r="K9"/>
      <c r="L9" s="12" t="str">
        <f>IF(ISBLANK(F9), IncompleteText, OKText)</f>
        <v>BLANK</v>
      </c>
      <c r="M9" s="83"/>
      <c r="N9" s="83"/>
      <c r="O9" s="83"/>
      <c r="P9" s="83"/>
      <c r="Q9" s="131"/>
      <c r="R9" s="131"/>
      <c r="S9"/>
      <c r="T9" s="83" t="s">
        <v>92</v>
      </c>
      <c r="U9" s="83"/>
      <c r="V9" s="85"/>
      <c r="W9" s="109"/>
      <c r="X9" s="110"/>
      <c r="Y9" s="12" t="str">
        <f>IF(ISBLANK(W9), IncompleteText, OKText)</f>
        <v>BLANK</v>
      </c>
      <c r="Z9" s="83" t="s">
        <v>93</v>
      </c>
      <c r="AA9" s="83"/>
      <c r="AB9" s="83"/>
      <c r="AC9" s="85"/>
      <c r="AD9" s="54"/>
      <c r="AE9" s="54"/>
      <c r="AF9" s="12" t="str">
        <f>IF(ISBLANK(AD9), IncompleteText, OKText)</f>
        <v>BLANK</v>
      </c>
      <c r="AG9" s="134"/>
      <c r="AH9" s="134"/>
      <c r="AI9" s="134"/>
      <c r="AJ9" s="134"/>
      <c r="AK9" s="134"/>
      <c r="AL9" s="134"/>
      <c r="AM9" s="134"/>
    </row>
    <row r="10" spans="1:39" ht="13.65" customHeight="1" x14ac:dyDescent="0.25">
      <c r="A10" s="90" t="s">
        <v>339</v>
      </c>
      <c r="B10" s="91" t="s">
        <v>94</v>
      </c>
      <c r="C10" s="91" t="s">
        <v>95</v>
      </c>
      <c r="D10" s="17"/>
      <c r="E10" s="17"/>
      <c r="F10" s="91" t="s">
        <v>96</v>
      </c>
      <c r="G10" s="112" t="s">
        <v>347</v>
      </c>
      <c r="H10" s="90" t="s">
        <v>97</v>
      </c>
      <c r="I10" s="90"/>
      <c r="J10" s="91" t="s">
        <v>341</v>
      </c>
      <c r="K10" s="91"/>
      <c r="L10"/>
      <c r="M10" s="83" t="s">
        <v>98</v>
      </c>
      <c r="N10" s="83"/>
      <c r="O10" s="83"/>
      <c r="P10" s="85"/>
      <c r="Q10" s="54"/>
      <c r="R10" s="54"/>
      <c r="S10" s="12" t="str">
        <f>IF(ISBLANK(Q10), IncompleteText, OKText)</f>
        <v>BLANK</v>
      </c>
      <c r="T10" s="83" t="s">
        <v>99</v>
      </c>
      <c r="U10" s="83"/>
      <c r="V10" s="85"/>
      <c r="W10" s="1" t="e">
        <f ca="1">VLOOKUP(W9, ConnectorsTable, 5, FALSE)</f>
        <v>#N/A</v>
      </c>
      <c r="X10" t="s">
        <v>14</v>
      </c>
      <c r="Y10" s="12" t="str">
        <f ca="1">IF(ISERROR(W10),IncompleteText,IF(W10&gt;=MainFuseA,OKText,ErrorText))</f>
        <v>BLANK</v>
      </c>
      <c r="Z10" s="83" t="s">
        <v>100</v>
      </c>
      <c r="AA10" s="83"/>
      <c r="AB10" s="83"/>
      <c r="AC10" s="85"/>
      <c r="AD10" s="1" t="e">
        <f ca="1">VLOOKUP(AD9, InsulationsTable, 6, FALSE)</f>
        <v>#N/A</v>
      </c>
      <c r="AE10" s="27" t="s">
        <v>13</v>
      </c>
      <c r="AF10" s="12" t="str">
        <f ca="1">IF(ISERROR(AD10), IncompleteText, IF(AD10 &lt; MaxTSVoltage,  ErrorText, OKText))</f>
        <v>BLANK</v>
      </c>
      <c r="AG10" s="134"/>
      <c r="AH10" s="134"/>
      <c r="AI10" s="134"/>
      <c r="AJ10" s="134"/>
      <c r="AK10" s="134"/>
      <c r="AL10" s="134"/>
      <c r="AM10" s="134"/>
    </row>
    <row r="11" spans="1:39" x14ac:dyDescent="0.25">
      <c r="A11" s="90"/>
      <c r="B11" s="91"/>
      <c r="C11" s="91"/>
      <c r="D11" s="17"/>
      <c r="E11" s="17"/>
      <c r="F11" s="91"/>
      <c r="G11" s="112"/>
      <c r="H11" s="90"/>
      <c r="I11" s="90"/>
      <c r="J11" s="91"/>
      <c r="K11" s="91"/>
      <c r="L11"/>
      <c r="M11" s="26" t="s">
        <v>23</v>
      </c>
      <c r="N11" s="54"/>
      <c r="O11" s="54"/>
      <c r="P11" s="26" t="s">
        <v>24</v>
      </c>
      <c r="Q11" s="54"/>
      <c r="R11" s="54"/>
      <c r="S11" s="12" t="str">
        <f>IF(Q10="Purchased", IF(OR(ISBLANK(N11), ISBLANK(Q11)), IncompleteText, OKText), "")</f>
        <v/>
      </c>
      <c r="Z11" s="83" t="s">
        <v>101</v>
      </c>
      <c r="AA11" s="83"/>
      <c r="AB11" s="83"/>
      <c r="AC11" s="85"/>
      <c r="AD11" s="1" t="e">
        <f ca="1">VLOOKUP(AD9, InsulationsTable, 7, FALSE)</f>
        <v>#N/A</v>
      </c>
      <c r="AE11" s="27" t="s">
        <v>33</v>
      </c>
      <c r="AF11" s="12" t="str">
        <f ca="1">IF(ISERROR(AD11), IncompleteText, IF(AD11 &lt; 90,  ErrorText, OKText))</f>
        <v>BLANK</v>
      </c>
      <c r="AG11" s="134"/>
      <c r="AH11" s="134"/>
      <c r="AI11" s="134"/>
      <c r="AJ11" s="134"/>
      <c r="AK11" s="134"/>
      <c r="AL11" s="134"/>
      <c r="AM11" s="134"/>
    </row>
    <row r="12" spans="1:39" x14ac:dyDescent="0.25">
      <c r="A12">
        <v>1</v>
      </c>
      <c r="B12" s="3"/>
      <c r="C12" s="3"/>
      <c r="D12" s="36"/>
      <c r="E12" s="36"/>
      <c r="F12" s="3"/>
      <c r="G12" s="3"/>
      <c r="H12" s="111">
        <f t="shared" ref="H12:H29" si="0">C12*BattCellMaxV</f>
        <v>0</v>
      </c>
      <c r="I12" s="111"/>
      <c r="J12" s="111">
        <f t="shared" ref="J12:J29" si="1">H12*B12*BattCellCapacity*0.0036</f>
        <v>0</v>
      </c>
      <c r="K12" s="111"/>
      <c r="L12" s="12" t="str">
        <f>IF(COUNTBLANK(B12:C12)+COUNTBLANK(F12:G12) &gt; 0, IncompleteText, IF(OR(H12&gt;120, J12&gt;6), ErrorText, OKText))</f>
        <v>BLANK</v>
      </c>
      <c r="M12" s="83" t="s">
        <v>102</v>
      </c>
      <c r="N12" s="83"/>
      <c r="O12" s="83"/>
      <c r="P12" s="85"/>
      <c r="Q12" s="3"/>
      <c r="R12" t="s">
        <v>13</v>
      </c>
      <c r="S12" s="12" t="str">
        <f>IF(ISBLANK(Q12), IncompleteText, IF(Q12&lt;G4, ErrorText, OKText))</f>
        <v>BLANK</v>
      </c>
      <c r="Z12" s="83" t="s">
        <v>65</v>
      </c>
      <c r="AA12" s="83"/>
      <c r="AB12" s="83"/>
      <c r="AC12" s="85"/>
      <c r="AD12" s="132" t="e">
        <f ca="1">VLOOKUP(AD9, InsulationsTable, 8, FALSE)</f>
        <v>#N/A</v>
      </c>
      <c r="AE12" s="133"/>
      <c r="AF12" s="12" t="str">
        <f ca="1">IF(ISERROR(AD12), IncompleteText, IF(ISNUMBER(MATCH(AD12,{"UL94 V-0","UL94 5VA","UL94 5VB","UL94 VTM-0","FAR 25.853"},0)), OKText, ErrorText))</f>
        <v>BLANK</v>
      </c>
      <c r="AG12" s="134"/>
      <c r="AH12" s="134"/>
      <c r="AI12" s="134"/>
      <c r="AJ12" s="134"/>
      <c r="AK12" s="134"/>
      <c r="AL12" s="134"/>
      <c r="AM12" s="134"/>
    </row>
    <row r="13" spans="1:39" x14ac:dyDescent="0.25">
      <c r="A13">
        <v>2</v>
      </c>
      <c r="B13" s="3"/>
      <c r="C13" s="3"/>
      <c r="D13" s="36"/>
      <c r="E13" s="36"/>
      <c r="F13" s="3"/>
      <c r="G13" s="3"/>
      <c r="H13" s="111">
        <f t="shared" si="0"/>
        <v>0</v>
      </c>
      <c r="I13" s="111"/>
      <c r="J13" s="111">
        <f t="shared" si="1"/>
        <v>0</v>
      </c>
      <c r="K13" s="111"/>
      <c r="L13" s="12" t="str">
        <f t="shared" ref="L13:L29" si="2">IF(COUNTBLANK(B13:C13)+COUNTBLANK(F13:G13)=4,"",IF(COUNTBLANK(B13:C13)+COUNTBLANK(F13:G13) &gt; 0, IncompleteText, IF(OR(H13&gt;120, J13&gt;6), ErrorText, OKText)))</f>
        <v/>
      </c>
      <c r="M13" s="83" t="s">
        <v>338</v>
      </c>
      <c r="N13" s="83"/>
      <c r="O13" s="83"/>
      <c r="P13" s="85"/>
      <c r="Q13" s="3"/>
      <c r="R13" t="s">
        <v>13</v>
      </c>
      <c r="S13" s="12" t="str">
        <f>IF(ISBLANK(Q13), IncompleteText, IF(Q13&lt;MAX(H12:I29), ErrorText, OKText))</f>
        <v>BLANK</v>
      </c>
      <c r="T13" s="46" t="s">
        <v>286</v>
      </c>
      <c r="U13" s="46"/>
      <c r="V13" s="46"/>
      <c r="W13" s="46"/>
      <c r="X13" s="46"/>
      <c r="Y13"/>
      <c r="Z13" s="83" t="s">
        <v>103</v>
      </c>
      <c r="AA13" s="83"/>
      <c r="AB13" s="83"/>
      <c r="AC13" s="85"/>
      <c r="AD13" s="54"/>
      <c r="AE13" s="54"/>
      <c r="AF13" s="12" t="str">
        <f>IF(ISBLANK(AD13), IncompleteText, OKText)</f>
        <v>BLANK</v>
      </c>
      <c r="AG13" s="134"/>
      <c r="AH13" s="134"/>
      <c r="AI13" s="134"/>
      <c r="AJ13" s="134"/>
      <c r="AK13" s="134"/>
      <c r="AL13" s="134"/>
      <c r="AM13" s="134"/>
    </row>
    <row r="14" spans="1:39" x14ac:dyDescent="0.25">
      <c r="A14">
        <v>3</v>
      </c>
      <c r="B14" s="3"/>
      <c r="C14" s="3"/>
      <c r="D14" s="36"/>
      <c r="E14" s="36"/>
      <c r="F14" s="3"/>
      <c r="G14" s="3"/>
      <c r="H14" s="111">
        <f t="shared" si="0"/>
        <v>0</v>
      </c>
      <c r="I14" s="111"/>
      <c r="J14" s="111">
        <f t="shared" si="1"/>
        <v>0</v>
      </c>
      <c r="K14" s="111"/>
      <c r="L14" s="12" t="str">
        <f t="shared" si="2"/>
        <v/>
      </c>
      <c r="M14" s="83" t="s">
        <v>104</v>
      </c>
      <c r="N14" s="83"/>
      <c r="O14" s="83"/>
      <c r="P14" s="85"/>
      <c r="Q14" s="151"/>
      <c r="R14" s="151"/>
      <c r="S14" s="12" t="str">
        <f>IF($Q$10="Team Built", IF(ISBLANK(Q14), IncompleteText, OKText), "")</f>
        <v/>
      </c>
      <c r="T14" s="83" t="s">
        <v>105</v>
      </c>
      <c r="U14" s="83"/>
      <c r="V14" s="85"/>
      <c r="W14" s="109"/>
      <c r="X14" s="110"/>
      <c r="Y14" s="12" t="str">
        <f>IF(ISBLANK(W14), IncompleteText, OKText)</f>
        <v>BLANK</v>
      </c>
      <c r="Z14" s="83" t="s">
        <v>100</v>
      </c>
      <c r="AA14" s="83"/>
      <c r="AB14" s="83"/>
      <c r="AC14" s="85"/>
      <c r="AD14" s="1" t="e">
        <f ca="1">VLOOKUP(AD13, InsulationsTable, 6, FALSE)</f>
        <v>#N/A</v>
      </c>
      <c r="AE14" s="27" t="s">
        <v>13</v>
      </c>
      <c r="AF14" s="12" t="str">
        <f ca="1">IF(ISERROR(AD14), IncompleteText, IF(AD14 &lt; MaxTSVoltage,  ErrorText, OKText))</f>
        <v>BLANK</v>
      </c>
      <c r="AG14" s="134"/>
      <c r="AH14" s="134"/>
      <c r="AI14" s="134"/>
      <c r="AJ14" s="134"/>
      <c r="AK14" s="134"/>
      <c r="AL14" s="134"/>
      <c r="AM14" s="134"/>
    </row>
    <row r="15" spans="1:39" x14ac:dyDescent="0.25">
      <c r="A15">
        <v>4</v>
      </c>
      <c r="B15" s="3"/>
      <c r="C15" s="3"/>
      <c r="D15" s="36"/>
      <c r="E15" s="36"/>
      <c r="F15" s="3"/>
      <c r="G15" s="3"/>
      <c r="H15" s="111">
        <f t="shared" si="0"/>
        <v>0</v>
      </c>
      <c r="I15" s="111"/>
      <c r="J15" s="111">
        <f t="shared" si="1"/>
        <v>0</v>
      </c>
      <c r="K15" s="111"/>
      <c r="L15" s="12" t="str">
        <f t="shared" si="2"/>
        <v/>
      </c>
      <c r="M15" s="83" t="s">
        <v>106</v>
      </c>
      <c r="N15" s="83"/>
      <c r="O15" s="83"/>
      <c r="P15" s="85"/>
      <c r="Q15" s="54"/>
      <c r="R15" s="54"/>
      <c r="S15" s="12" t="str">
        <f>IF($Q$10="Team Built", IF(ISBLANK(Q15), IncompleteText, OKText), "")</f>
        <v/>
      </c>
      <c r="T15" s="83" t="s">
        <v>107</v>
      </c>
      <c r="U15" s="83"/>
      <c r="V15" s="85"/>
      <c r="W15" s="1" t="e">
        <f ca="1">VLOOKUP(W14, ContactorsTable, 4, FALSE)</f>
        <v>#N/A</v>
      </c>
      <c r="X15" t="s">
        <v>13</v>
      </c>
      <c r="Y15" s="12" t="str">
        <f ca="1">IF(ISERROR(W15), IncompleteText, IF(W15 &lt; MaxTSVoltage,  ErrorText, OKText))</f>
        <v>BLANK</v>
      </c>
      <c r="Z15" s="83" t="s">
        <v>101</v>
      </c>
      <c r="AA15" s="83"/>
      <c r="AB15" s="83"/>
      <c r="AC15" s="85"/>
      <c r="AD15" s="1" t="e">
        <f ca="1">VLOOKUP(AD13, InsulationsTable, 7, FALSE)</f>
        <v>#N/A</v>
      </c>
      <c r="AE15" s="27" t="s">
        <v>33</v>
      </c>
      <c r="AF15" s="12" t="str">
        <f ca="1">IF(ISERROR(AD15), IncompleteText, IF(AD15 &lt; 90,  ErrorText, OKText))</f>
        <v>BLANK</v>
      </c>
      <c r="AG15" s="134"/>
      <c r="AH15" s="134"/>
      <c r="AI15" s="134"/>
      <c r="AJ15" s="134"/>
      <c r="AK15" s="134"/>
      <c r="AL15" s="134"/>
      <c r="AM15" s="134"/>
    </row>
    <row r="16" spans="1:39" x14ac:dyDescent="0.25">
      <c r="A16">
        <v>5</v>
      </c>
      <c r="B16" s="3"/>
      <c r="C16" s="3"/>
      <c r="D16" s="36"/>
      <c r="E16" s="36"/>
      <c r="F16" s="3"/>
      <c r="G16" s="3"/>
      <c r="H16" s="111">
        <f t="shared" si="0"/>
        <v>0</v>
      </c>
      <c r="I16" s="111"/>
      <c r="J16" s="111">
        <f t="shared" si="1"/>
        <v>0</v>
      </c>
      <c r="K16" s="111"/>
      <c r="L16" s="12" t="str">
        <f t="shared" si="2"/>
        <v/>
      </c>
      <c r="M16" s="150" t="s">
        <v>108</v>
      </c>
      <c r="N16" s="150"/>
      <c r="O16" s="150"/>
      <c r="P16" s="150"/>
      <c r="Q16" s="150"/>
      <c r="R16" s="150"/>
      <c r="S16"/>
      <c r="T16" s="83" t="s">
        <v>109</v>
      </c>
      <c r="U16" s="83"/>
      <c r="V16" s="85"/>
      <c r="W16" s="1" t="e">
        <f ca="1">VLOOKUP(W14, ContactorsTable, 6, FALSE)</f>
        <v>#N/A</v>
      </c>
      <c r="X16" t="s">
        <v>14</v>
      </c>
      <c r="Y16"/>
      <c r="Z16" s="83" t="s">
        <v>65</v>
      </c>
      <c r="AA16" s="83"/>
      <c r="AB16" s="83"/>
      <c r="AC16" s="85"/>
      <c r="AD16" s="132" t="e">
        <f ca="1">VLOOKUP(AD13, InsulationsTable, 8, FALSE)</f>
        <v>#N/A</v>
      </c>
      <c r="AE16" s="133"/>
      <c r="AF16" s="12" t="str">
        <f ca="1">IF(ISERROR(AD16), IncompleteText, IF(ISNUMBER(MATCH(AD16,{"UL94 V-0","UL94 5VA","UL94 5VB","UL94 VTM-0","FAR 25.853"},0)), OKText, ErrorText))</f>
        <v>BLANK</v>
      </c>
      <c r="AG16" s="134"/>
      <c r="AH16" s="134"/>
      <c r="AI16" s="134"/>
      <c r="AJ16" s="134"/>
      <c r="AK16" s="134"/>
      <c r="AL16" s="134"/>
      <c r="AM16" s="134"/>
    </row>
    <row r="17" spans="1:39" x14ac:dyDescent="0.25">
      <c r="A17">
        <v>6</v>
      </c>
      <c r="B17" s="3"/>
      <c r="C17" s="3"/>
      <c r="D17" s="36"/>
      <c r="E17" s="36"/>
      <c r="F17" s="3"/>
      <c r="G17" s="3"/>
      <c r="H17" s="111">
        <f t="shared" si="0"/>
        <v>0</v>
      </c>
      <c r="I17" s="111"/>
      <c r="J17" s="111">
        <f t="shared" si="1"/>
        <v>0</v>
      </c>
      <c r="K17" s="111"/>
      <c r="L17" s="12" t="str">
        <f t="shared" si="2"/>
        <v/>
      </c>
      <c r="M17" s="83" t="s">
        <v>311</v>
      </c>
      <c r="N17" s="83"/>
      <c r="O17" s="83"/>
      <c r="P17" s="85"/>
      <c r="Q17" s="3"/>
      <c r="R17" t="s">
        <v>118</v>
      </c>
      <c r="S17" s="12" t="str">
        <f>IF(ISBLANK(Q17), IncompleteText, IF(Q17&gt;150,  ErrorText, OKText))</f>
        <v>BLANK</v>
      </c>
      <c r="T17" s="83" t="s">
        <v>31</v>
      </c>
      <c r="U17" s="83"/>
      <c r="V17" s="85"/>
      <c r="W17" s="1" t="e">
        <f ca="1">VLOOKUP(W14, ContactorsTable, 5, FALSE)</f>
        <v>#N/A</v>
      </c>
      <c r="X17" t="s">
        <v>14</v>
      </c>
      <c r="Y17" s="12" t="str">
        <f ca="1">IF(ISERROR(W17), IncompleteText, IF(W17&gt;=MainFuseA, OKText, ErrorText))</f>
        <v>BLANK</v>
      </c>
      <c r="Z17" s="83" t="s">
        <v>294</v>
      </c>
      <c r="AA17" s="83"/>
      <c r="AB17" s="83"/>
      <c r="AC17" s="85"/>
      <c r="AD17" s="109"/>
      <c r="AE17" s="110"/>
      <c r="AF17" s="12" t="str">
        <f>IF(ISBLANK(AD17), IncompleteText, OKText)</f>
        <v>BLANK</v>
      </c>
      <c r="AG17" s="134"/>
      <c r="AH17" s="134"/>
      <c r="AI17" s="134"/>
      <c r="AJ17" s="134"/>
      <c r="AK17" s="134"/>
      <c r="AL17" s="134"/>
      <c r="AM17" s="134"/>
    </row>
    <row r="18" spans="1:39" ht="14" x14ac:dyDescent="0.3">
      <c r="A18">
        <v>7</v>
      </c>
      <c r="B18" s="3"/>
      <c r="C18" s="3"/>
      <c r="D18" s="36"/>
      <c r="E18" s="36"/>
      <c r="F18" s="3"/>
      <c r="G18" s="3"/>
      <c r="H18" s="111">
        <f t="shared" si="0"/>
        <v>0</v>
      </c>
      <c r="I18" s="111"/>
      <c r="J18" s="111">
        <f t="shared" si="1"/>
        <v>0</v>
      </c>
      <c r="K18" s="111"/>
      <c r="L18" s="12" t="str">
        <f t="shared" si="2"/>
        <v/>
      </c>
      <c r="M18" s="117" t="s">
        <v>256</v>
      </c>
      <c r="N18" s="117"/>
      <c r="O18" s="117"/>
      <c r="P18" s="118"/>
      <c r="Q18" s="54"/>
      <c r="R18" s="54"/>
      <c r="S18" s="12" t="str">
        <f>IF(ISBLANK(Q18), IncompleteText, OKText)</f>
        <v>BLANK</v>
      </c>
      <c r="T18" s="46" t="s">
        <v>110</v>
      </c>
      <c r="U18" s="46"/>
      <c r="V18" s="46"/>
      <c r="W18" s="46"/>
      <c r="X18" s="46"/>
      <c r="Y18"/>
      <c r="Z18" s="83" t="s">
        <v>100</v>
      </c>
      <c r="AA18" s="83"/>
      <c r="AB18" s="83"/>
      <c r="AC18" s="85"/>
      <c r="AD18" s="1" t="e">
        <f ca="1">VLOOKUP(AD17, InsulationsTable, 6, FALSE)</f>
        <v>#N/A</v>
      </c>
      <c r="AE18" s="27" t="s">
        <v>13</v>
      </c>
      <c r="AF18" s="12" t="str">
        <f ca="1">IF(ISERROR(AD18), IncompleteText, IF(AD18 &lt; MaxTSVoltage,  ErrorText, OKText))</f>
        <v>BLANK</v>
      </c>
      <c r="AG18" s="134"/>
      <c r="AH18" s="134"/>
      <c r="AI18" s="134"/>
      <c r="AJ18" s="134"/>
      <c r="AK18" s="134"/>
      <c r="AL18" s="134"/>
      <c r="AM18" s="134"/>
    </row>
    <row r="19" spans="1:39" x14ac:dyDescent="0.25">
      <c r="A19">
        <v>8</v>
      </c>
      <c r="B19" s="3"/>
      <c r="C19" s="3"/>
      <c r="D19" s="36"/>
      <c r="E19" s="36"/>
      <c r="F19" s="3"/>
      <c r="G19" s="3"/>
      <c r="H19" s="111">
        <f t="shared" si="0"/>
        <v>0</v>
      </c>
      <c r="I19" s="111"/>
      <c r="J19" s="111">
        <f t="shared" si="1"/>
        <v>0</v>
      </c>
      <c r="K19" s="111"/>
      <c r="L19" s="12" t="str">
        <f t="shared" si="2"/>
        <v/>
      </c>
      <c r="M19" s="83" t="s">
        <v>111</v>
      </c>
      <c r="N19" s="83"/>
      <c r="O19" s="83"/>
      <c r="P19" s="85"/>
      <c r="Q19" s="54"/>
      <c r="R19" s="54"/>
      <c r="S19" s="12" t="str">
        <f>IF(ISBLANK(Q19), IncompleteText, OKText)</f>
        <v>BLANK</v>
      </c>
      <c r="T19" s="83" t="s">
        <v>110</v>
      </c>
      <c r="U19" s="83"/>
      <c r="V19" s="85"/>
      <c r="W19" s="109"/>
      <c r="X19" s="110"/>
      <c r="Y19" s="12" t="str">
        <f>IF(ISBLANK(W19), IncompleteText, OKText)</f>
        <v>BLANK</v>
      </c>
      <c r="Z19" s="83" t="s">
        <v>101</v>
      </c>
      <c r="AA19" s="83"/>
      <c r="AB19" s="83"/>
      <c r="AC19" s="85"/>
      <c r="AD19" s="1" t="e">
        <f ca="1">VLOOKUP(AD17, InsulationsTable, 7, FALSE)</f>
        <v>#N/A</v>
      </c>
      <c r="AE19" s="27" t="s">
        <v>33</v>
      </c>
      <c r="AF19" s="12" t="str">
        <f ca="1">IF(ISERROR(AD19), IncompleteText, IF(AD19 &lt; 90,  ErrorText, OKText))</f>
        <v>BLANK</v>
      </c>
      <c r="AG19" s="134"/>
      <c r="AH19" s="134"/>
      <c r="AI19" s="134"/>
      <c r="AJ19" s="134"/>
      <c r="AK19" s="134"/>
      <c r="AL19" s="134"/>
      <c r="AM19" s="134"/>
    </row>
    <row r="20" spans="1:39" x14ac:dyDescent="0.25">
      <c r="A20">
        <v>9</v>
      </c>
      <c r="B20" s="3"/>
      <c r="C20" s="3"/>
      <c r="D20" s="36"/>
      <c r="E20" s="36"/>
      <c r="F20" s="3"/>
      <c r="G20" s="3"/>
      <c r="H20" s="111">
        <f t="shared" si="0"/>
        <v>0</v>
      </c>
      <c r="I20" s="111"/>
      <c r="J20" s="111">
        <f t="shared" si="1"/>
        <v>0</v>
      </c>
      <c r="K20" s="111"/>
      <c r="L20" s="12" t="str">
        <f t="shared" si="2"/>
        <v/>
      </c>
      <c r="M20" s="83" t="s">
        <v>112</v>
      </c>
      <c r="N20" s="83"/>
      <c r="O20" s="83"/>
      <c r="P20" s="85"/>
      <c r="Q20" s="149"/>
      <c r="R20" s="86"/>
      <c r="S20" s="12" t="str">
        <f>IF(Q19="Other", IF(ISBLANK(Q20), IncompleteText, OKText), "")</f>
        <v/>
      </c>
      <c r="T20" s="83" t="s">
        <v>113</v>
      </c>
      <c r="U20" s="83"/>
      <c r="V20" s="85"/>
      <c r="W20" s="1" t="e">
        <f ca="1">VLOOKUP(W19, FusesTable, 6, FALSE)</f>
        <v>#N/A</v>
      </c>
      <c r="X20" t="s">
        <v>14</v>
      </c>
      <c r="Y20"/>
      <c r="Z20" s="83" t="s">
        <v>65</v>
      </c>
      <c r="AA20" s="83"/>
      <c r="AB20" s="83"/>
      <c r="AC20" s="85"/>
      <c r="AD20" s="132" t="e">
        <f ca="1">VLOOKUP(AD17, InsulationsTable, 8, FALSE)</f>
        <v>#N/A</v>
      </c>
      <c r="AE20" s="133"/>
      <c r="AF20" s="12" t="str">
        <f ca="1">IF(ISERROR(AD20), IncompleteText, IF(ISNUMBER(MATCH(AD20,{"UL94 V-0","UL94 5VA","UL94 5VB","UL94 VTM-0","FAR 25.853"},0)), OKText, ErrorText))</f>
        <v>BLANK</v>
      </c>
      <c r="AG20" s="134"/>
      <c r="AH20" s="134"/>
      <c r="AI20" s="134"/>
      <c r="AJ20" s="134"/>
      <c r="AK20" s="134"/>
      <c r="AL20" s="134"/>
      <c r="AM20" s="134"/>
    </row>
    <row r="21" spans="1:39" x14ac:dyDescent="0.25">
      <c r="A21">
        <v>10</v>
      </c>
      <c r="B21" s="3"/>
      <c r="C21" s="3"/>
      <c r="D21" s="36"/>
      <c r="E21" s="36"/>
      <c r="F21" s="3"/>
      <c r="G21" s="3"/>
      <c r="H21" s="111">
        <f t="shared" si="0"/>
        <v>0</v>
      </c>
      <c r="I21" s="111"/>
      <c r="J21" s="111">
        <f t="shared" si="1"/>
        <v>0</v>
      </c>
      <c r="K21" s="111"/>
      <c r="L21" s="12" t="str">
        <f t="shared" si="2"/>
        <v/>
      </c>
      <c r="M21" s="83" t="s">
        <v>114</v>
      </c>
      <c r="N21" s="83"/>
      <c r="O21" s="83"/>
      <c r="P21" s="83"/>
      <c r="Q21" s="34" t="e">
        <f ca="1">VLOOKUP(Q18, FusesTable, 4, FALSE)</f>
        <v>#N/A</v>
      </c>
      <c r="R21" t="s">
        <v>13</v>
      </c>
      <c r="S21" s="12" t="str">
        <f ca="1">IF(ISERROR(Q21), IncompleteText, IF(Q21 &lt; MAX(H12:I29),  ErrorText, OKText))</f>
        <v>BLANK</v>
      </c>
      <c r="T21" s="83" t="s">
        <v>257</v>
      </c>
      <c r="U21" s="83"/>
      <c r="V21" s="85"/>
      <c r="W21" s="1" t="e">
        <f ca="1">VLOOKUP(W19, FusesTable, 4, FALSE)</f>
        <v>#N/A</v>
      </c>
      <c r="X21" t="s">
        <v>13</v>
      </c>
      <c r="Y21" s="12" t="str">
        <f ca="1">IF(ISERROR(W21), IncompleteText,IF(W21 &lt; MaxTSVoltage, ErrorText, OKText))</f>
        <v>BLANK</v>
      </c>
      <c r="AG21" s="134"/>
      <c r="AH21" s="134"/>
      <c r="AI21" s="134"/>
      <c r="AJ21" s="134"/>
      <c r="AK21" s="134"/>
      <c r="AL21" s="134"/>
      <c r="AM21" s="134"/>
    </row>
    <row r="22" spans="1:39" x14ac:dyDescent="0.25">
      <c r="A22">
        <v>11</v>
      </c>
      <c r="B22" s="3"/>
      <c r="C22" s="3"/>
      <c r="D22" s="36"/>
      <c r="E22" s="36"/>
      <c r="F22" s="3"/>
      <c r="G22" s="3"/>
      <c r="H22" s="111">
        <f t="shared" si="0"/>
        <v>0</v>
      </c>
      <c r="I22" s="111"/>
      <c r="J22" s="111">
        <f t="shared" si="1"/>
        <v>0</v>
      </c>
      <c r="K22" s="111"/>
      <c r="L22" s="12" t="str">
        <f t="shared" si="2"/>
        <v/>
      </c>
      <c r="M22" s="83" t="s">
        <v>362</v>
      </c>
      <c r="N22" s="83"/>
      <c r="O22" s="83"/>
      <c r="P22" s="83"/>
      <c r="Q22" s="34" t="e">
        <f ca="1">VLOOKUP(Q18, FusesTable, 6, FALSE)</f>
        <v>#N/A</v>
      </c>
      <c r="R22" t="s">
        <v>14</v>
      </c>
      <c r="S22"/>
      <c r="T22" s="46" t="s">
        <v>284</v>
      </c>
      <c r="U22" s="46"/>
      <c r="V22" s="46"/>
      <c r="W22" s="46"/>
      <c r="X22" s="46"/>
      <c r="Y22"/>
      <c r="AG22" s="134"/>
      <c r="AH22" s="134"/>
      <c r="AI22" s="134"/>
      <c r="AJ22" s="134"/>
      <c r="AK22" s="134"/>
      <c r="AL22" s="134"/>
      <c r="AM22" s="134"/>
    </row>
    <row r="23" spans="1:39" x14ac:dyDescent="0.25">
      <c r="A23">
        <v>12</v>
      </c>
      <c r="B23" s="3"/>
      <c r="C23" s="3"/>
      <c r="D23" s="36"/>
      <c r="E23" s="36"/>
      <c r="F23" s="3"/>
      <c r="G23" s="3"/>
      <c r="H23" s="111">
        <f t="shared" si="0"/>
        <v>0</v>
      </c>
      <c r="I23" s="111"/>
      <c r="J23" s="111">
        <f t="shared" si="1"/>
        <v>0</v>
      </c>
      <c r="K23" s="111"/>
      <c r="L23" s="12" t="str">
        <f t="shared" si="2"/>
        <v/>
      </c>
      <c r="M23" s="83" t="s">
        <v>409</v>
      </c>
      <c r="N23" s="83"/>
      <c r="O23" s="83"/>
      <c r="P23" s="83"/>
      <c r="Q23" s="34" t="e">
        <f ca="1">VLOOKUP(Q18, FusesTable, 7, FALSE)</f>
        <v>#N/A</v>
      </c>
      <c r="R23" t="s">
        <v>14</v>
      </c>
      <c r="S23"/>
      <c r="T23" s="83" t="s">
        <v>284</v>
      </c>
      <c r="U23" s="83"/>
      <c r="V23" s="85"/>
      <c r="W23" s="109"/>
      <c r="X23" s="110"/>
      <c r="Y23" s="12" t="str">
        <f>IF(ISBLANK(W23), IncompleteText, OKText)</f>
        <v>BLANK</v>
      </c>
      <c r="AG23" s="134"/>
      <c r="AH23" s="134"/>
      <c r="AI23" s="134"/>
      <c r="AJ23" s="134"/>
      <c r="AK23" s="134"/>
      <c r="AL23" s="134"/>
      <c r="AM23" s="134"/>
    </row>
    <row r="24" spans="1:39" x14ac:dyDescent="0.25">
      <c r="A24">
        <v>13</v>
      </c>
      <c r="B24" s="3"/>
      <c r="C24" s="3"/>
      <c r="D24" s="36"/>
      <c r="E24" s="36"/>
      <c r="F24" s="3"/>
      <c r="G24" s="3"/>
      <c r="H24" s="111">
        <f t="shared" si="0"/>
        <v>0</v>
      </c>
      <c r="I24" s="111"/>
      <c r="J24" s="111">
        <f t="shared" si="1"/>
        <v>0</v>
      </c>
      <c r="K24" s="111"/>
      <c r="L24" s="12" t="str">
        <f t="shared" si="2"/>
        <v/>
      </c>
      <c r="M24" s="150" t="s">
        <v>115</v>
      </c>
      <c r="N24" s="150"/>
      <c r="O24" s="150"/>
      <c r="P24" s="150"/>
      <c r="Q24" s="150"/>
      <c r="R24" s="150"/>
      <c r="S24"/>
      <c r="T24" s="83" t="s">
        <v>99</v>
      </c>
      <c r="U24" s="83"/>
      <c r="V24" s="85"/>
      <c r="W24" s="1" t="e">
        <f ca="1">VLOOKUP(W23, ConnectorsTable, 5, FALSE)</f>
        <v>#N/A</v>
      </c>
      <c r="X24" t="s">
        <v>14</v>
      </c>
      <c r="Y24" s="12" t="str">
        <f ca="1">IF(ISERROR(W24), IncompleteText, IF(W24 &lt; MainFuseA,  ErrorText, OKText))</f>
        <v>BLANK</v>
      </c>
      <c r="AG24" s="134"/>
      <c r="AH24" s="134"/>
      <c r="AI24" s="134"/>
      <c r="AJ24" s="134"/>
      <c r="AK24" s="134"/>
      <c r="AL24" s="134"/>
      <c r="AM24" s="134"/>
    </row>
    <row r="25" spans="1:39" x14ac:dyDescent="0.25">
      <c r="A25">
        <v>14</v>
      </c>
      <c r="B25" s="3"/>
      <c r="C25" s="3"/>
      <c r="D25" s="36"/>
      <c r="E25" s="36"/>
      <c r="F25" s="3"/>
      <c r="G25" s="3"/>
      <c r="H25" s="111">
        <f t="shared" si="0"/>
        <v>0</v>
      </c>
      <c r="I25" s="111"/>
      <c r="J25" s="111">
        <f t="shared" si="1"/>
        <v>0</v>
      </c>
      <c r="K25" s="111"/>
      <c r="L25" s="12" t="str">
        <f t="shared" si="2"/>
        <v/>
      </c>
      <c r="M25" s="83" t="s">
        <v>116</v>
      </c>
      <c r="N25" s="83"/>
      <c r="O25" s="83"/>
      <c r="P25" s="85"/>
      <c r="Q25" s="87"/>
      <c r="R25" s="88"/>
      <c r="S25" s="12" t="str">
        <f>IF(ISBLANK(Q25), IncompleteText, OKText)</f>
        <v>BLANK</v>
      </c>
      <c r="T25" s="46" t="s">
        <v>406</v>
      </c>
      <c r="U25" s="46"/>
      <c r="V25" s="46"/>
      <c r="W25" s="46"/>
      <c r="X25" s="46"/>
      <c r="Y25"/>
      <c r="AG25" s="134"/>
      <c r="AH25" s="134"/>
      <c r="AI25" s="134"/>
      <c r="AJ25" s="134"/>
      <c r="AK25" s="134"/>
      <c r="AL25" s="134"/>
      <c r="AM25" s="134"/>
    </row>
    <row r="26" spans="1:39" x14ac:dyDescent="0.25">
      <c r="A26">
        <v>15</v>
      </c>
      <c r="B26" s="3"/>
      <c r="C26" s="3"/>
      <c r="D26" s="36"/>
      <c r="E26" s="36"/>
      <c r="F26" s="3"/>
      <c r="G26" s="3"/>
      <c r="H26" s="111">
        <f t="shared" si="0"/>
        <v>0</v>
      </c>
      <c r="I26" s="111"/>
      <c r="J26" s="111">
        <f t="shared" si="1"/>
        <v>0</v>
      </c>
      <c r="K26" s="111"/>
      <c r="L26" s="12" t="str">
        <f t="shared" si="2"/>
        <v/>
      </c>
      <c r="M26" s="83" t="s">
        <v>117</v>
      </c>
      <c r="N26" s="83"/>
      <c r="O26" s="83"/>
      <c r="P26" s="85"/>
      <c r="Q26" s="3"/>
      <c r="R26" t="s">
        <v>118</v>
      </c>
      <c r="S26" s="12" t="str">
        <f>IF(Q25="On cell terminal","",IF(ISBLANK(Q26),IncompleteText,IF(Q26&lt;10,OKText,ErrorText)))</f>
        <v>BLANK</v>
      </c>
      <c r="T26" s="83" t="s">
        <v>406</v>
      </c>
      <c r="U26" s="83"/>
      <c r="V26" s="85"/>
      <c r="W26" s="109"/>
      <c r="X26" s="110"/>
      <c r="Y26" s="12" t="str">
        <f>IF(ISBLANK(W26), IncompleteText, OKText)</f>
        <v>BLANK</v>
      </c>
      <c r="AG26" s="134"/>
      <c r="AH26" s="134"/>
      <c r="AI26" s="134"/>
      <c r="AJ26" s="134"/>
      <c r="AK26" s="134"/>
      <c r="AL26" s="134"/>
      <c r="AM26" s="134"/>
    </row>
    <row r="27" spans="1:39" x14ac:dyDescent="0.25">
      <c r="A27">
        <v>16</v>
      </c>
      <c r="B27" s="3"/>
      <c r="C27" s="3"/>
      <c r="D27" s="36"/>
      <c r="E27" s="36"/>
      <c r="F27" s="3"/>
      <c r="G27" s="3"/>
      <c r="H27" s="111">
        <f t="shared" si="0"/>
        <v>0</v>
      </c>
      <c r="I27" s="111"/>
      <c r="J27" s="111">
        <f t="shared" si="1"/>
        <v>0</v>
      </c>
      <c r="K27" s="111"/>
      <c r="L27" s="12" t="str">
        <f t="shared" si="2"/>
        <v/>
      </c>
      <c r="M27" s="83" t="s">
        <v>119</v>
      </c>
      <c r="N27" s="83"/>
      <c r="O27" s="83"/>
      <c r="P27" s="85"/>
      <c r="Q27" s="3"/>
      <c r="R27" t="s">
        <v>369</v>
      </c>
      <c r="S27" s="12" t="str">
        <f>IF(ISBLANK(Q27), IncompleteText, OKText)</f>
        <v>BLANK</v>
      </c>
      <c r="T27" s="83" t="s">
        <v>99</v>
      </c>
      <c r="U27" s="83"/>
      <c r="V27" s="85"/>
      <c r="W27" s="1" t="e">
        <f ca="1">VLOOKUP(W26, ConnectorsTable, 5, FALSE)</f>
        <v>#N/A</v>
      </c>
      <c r="X27" t="s">
        <v>14</v>
      </c>
      <c r="Y27" s="12" t="str">
        <f ca="1">IF(ISERROR(W27), IncompleteText,IF(W27 &lt; MainFuseA, ErrorText, OKText))</f>
        <v>BLANK</v>
      </c>
      <c r="AG27" s="134"/>
      <c r="AH27" s="134"/>
      <c r="AI27" s="134"/>
      <c r="AJ27" s="134"/>
      <c r="AK27" s="134"/>
      <c r="AL27" s="134"/>
      <c r="AM27" s="134"/>
    </row>
    <row r="28" spans="1:39" x14ac:dyDescent="0.25">
      <c r="A28">
        <v>17</v>
      </c>
      <c r="B28" s="3"/>
      <c r="C28" s="3"/>
      <c r="D28" s="36"/>
      <c r="E28" s="36"/>
      <c r="F28" s="3"/>
      <c r="G28" s="3"/>
      <c r="H28" s="111">
        <f t="shared" si="0"/>
        <v>0</v>
      </c>
      <c r="I28" s="111"/>
      <c r="J28" s="111">
        <f t="shared" si="1"/>
        <v>0</v>
      </c>
      <c r="K28" s="111"/>
      <c r="L28" s="12" t="str">
        <f t="shared" si="2"/>
        <v/>
      </c>
      <c r="M28" s="83" t="s">
        <v>120</v>
      </c>
      <c r="N28" s="83"/>
      <c r="O28" s="83"/>
      <c r="P28" s="85"/>
      <c r="Q28" s="87"/>
      <c r="R28" s="88"/>
      <c r="S28" s="24"/>
      <c r="T28" s="83" t="s">
        <v>175</v>
      </c>
      <c r="U28" s="83"/>
      <c r="V28" s="85"/>
      <c r="W28" s="1" t="e">
        <f ca="1">VLOOKUP(W26, ConnectorsTable, 4, FALSE)</f>
        <v>#N/A</v>
      </c>
      <c r="X28" t="s">
        <v>13</v>
      </c>
      <c r="Y28" s="12" t="str">
        <f ca="1">IF(ISERROR(W28), IncompleteText,IF(W28 &lt; MaxTSVoltage, ErrorText, OKText))</f>
        <v>BLANK</v>
      </c>
      <c r="AG28" s="134"/>
      <c r="AH28" s="134"/>
      <c r="AI28" s="134"/>
      <c r="AJ28" s="134"/>
      <c r="AK28" s="134"/>
      <c r="AL28" s="134"/>
      <c r="AM28" s="134"/>
    </row>
    <row r="29" spans="1:39" x14ac:dyDescent="0.25">
      <c r="A29">
        <v>18</v>
      </c>
      <c r="B29" s="3"/>
      <c r="C29" s="3"/>
      <c r="D29" s="36"/>
      <c r="E29" s="36"/>
      <c r="F29" s="3"/>
      <c r="G29" s="3"/>
      <c r="H29" s="111">
        <f t="shared" si="0"/>
        <v>0</v>
      </c>
      <c r="I29" s="111"/>
      <c r="J29" s="111">
        <f t="shared" si="1"/>
        <v>0</v>
      </c>
      <c r="K29" s="111"/>
      <c r="L29" s="12" t="str">
        <f t="shared" si="2"/>
        <v/>
      </c>
      <c r="M29" s="83" t="s">
        <v>121</v>
      </c>
      <c r="N29" s="83"/>
      <c r="O29" s="83"/>
      <c r="P29" s="85"/>
      <c r="Q29" s="87"/>
      <c r="R29" s="88"/>
      <c r="S29" s="12" t="str">
        <f>IF(ISBLANK(Q28), "", IF(ISBLANK(Q29), IncompleteText, OKText))</f>
        <v/>
      </c>
      <c r="AG29" s="134"/>
      <c r="AH29" s="134"/>
      <c r="AI29" s="134"/>
      <c r="AJ29" s="134"/>
      <c r="AK29" s="134"/>
      <c r="AL29" s="134"/>
      <c r="AM29" s="134"/>
    </row>
    <row r="30" spans="1:39" ht="14.5" x14ac:dyDescent="0.35">
      <c r="M30" s="83" t="s">
        <v>122</v>
      </c>
      <c r="N30" s="83"/>
      <c r="O30" s="83"/>
      <c r="P30" s="85"/>
      <c r="Q30" s="3"/>
      <c r="R30" t="s">
        <v>123</v>
      </c>
      <c r="S30" s="12" t="str">
        <f>IF(ISBLANK(Q28), "", IF(ISBLANK(Q30), IncompleteText, OKText))</f>
        <v/>
      </c>
    </row>
    <row r="31" spans="1:39" x14ac:dyDescent="0.25">
      <c r="M31" s="83" t="s">
        <v>124</v>
      </c>
      <c r="N31" s="83"/>
      <c r="O31" s="83"/>
      <c r="P31" s="85"/>
      <c r="Q31" s="3"/>
      <c r="R31" t="s">
        <v>118</v>
      </c>
      <c r="S31" s="12" t="str">
        <f>IF(ISBLANK(Q28), "", IF(ISBLANK(Q31), IncompleteText, OKText))</f>
        <v/>
      </c>
    </row>
    <row r="32" spans="1:39" x14ac:dyDescent="0.25">
      <c r="M32" s="83" t="s">
        <v>125</v>
      </c>
      <c r="N32" s="83"/>
      <c r="O32" s="83"/>
      <c r="P32" s="85"/>
      <c r="Q32" s="4" t="e">
        <f>SUMIF(L12:L29, "=OK", F12:F29)*CellsPerTempSensor/TotalCells*100</f>
        <v>#DIV/0!</v>
      </c>
      <c r="R32" t="s">
        <v>126</v>
      </c>
      <c r="S32" s="12" t="str">
        <f>IF(ISERROR(Q32),IncompleteText,IF(Q32&lt;20,ErrorText,OKText))</f>
        <v>BLANK</v>
      </c>
    </row>
    <row r="34" spans="1:55" ht="13.75" customHeight="1" x14ac:dyDescent="0.25">
      <c r="A34" s="136" t="s">
        <v>127</v>
      </c>
      <c r="B34" s="136"/>
      <c r="C34" s="136"/>
      <c r="D34" s="136"/>
      <c r="E34" s="136"/>
      <c r="F34" s="136"/>
      <c r="G34" s="136"/>
      <c r="H34" s="136"/>
      <c r="I34" s="136"/>
      <c r="J34" s="136"/>
      <c r="L34" s="139" t="s">
        <v>128</v>
      </c>
      <c r="M34" s="140"/>
      <c r="N34" s="140"/>
      <c r="O34" s="140"/>
      <c r="P34" s="140"/>
      <c r="Q34" s="140"/>
      <c r="R34" s="140"/>
      <c r="S34" s="141"/>
      <c r="U34" s="136" t="s">
        <v>129</v>
      </c>
      <c r="V34" s="136"/>
      <c r="W34" s="136"/>
      <c r="X34" s="136"/>
      <c r="Y34" s="136"/>
      <c r="Z34" s="136"/>
      <c r="AA34" s="136"/>
      <c r="AB34" s="136"/>
      <c r="AD34" s="136" t="s">
        <v>295</v>
      </c>
      <c r="AE34" s="136"/>
      <c r="AF34" s="136"/>
      <c r="AG34" s="136"/>
      <c r="AH34" s="136"/>
      <c r="AI34" s="136"/>
      <c r="AJ34" s="136"/>
      <c r="AK34" s="136"/>
      <c r="AM34" s="148" t="s">
        <v>349</v>
      </c>
      <c r="AN34" s="148"/>
      <c r="AO34" s="148"/>
      <c r="AP34" s="148"/>
      <c r="AQ34" s="148"/>
      <c r="AR34" s="148"/>
      <c r="AS34" s="148"/>
      <c r="AT34" s="148"/>
      <c r="AV34" s="136" t="s">
        <v>343</v>
      </c>
      <c r="AW34" s="136"/>
      <c r="AX34" s="136"/>
      <c r="AY34" s="136"/>
      <c r="AZ34" s="136"/>
      <c r="BA34" s="136"/>
      <c r="BB34" s="136"/>
      <c r="BC34" s="136"/>
    </row>
    <row r="35" spans="1:55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L35" s="142"/>
      <c r="M35" s="143"/>
      <c r="N35" s="143"/>
      <c r="O35" s="143"/>
      <c r="P35" s="143"/>
      <c r="Q35" s="143"/>
      <c r="R35" s="143"/>
      <c r="S35" s="144"/>
      <c r="U35" s="136"/>
      <c r="V35" s="136"/>
      <c r="W35" s="136"/>
      <c r="X35" s="136"/>
      <c r="Y35" s="136"/>
      <c r="Z35" s="136"/>
      <c r="AA35" s="136"/>
      <c r="AB35" s="136"/>
      <c r="AD35" s="136"/>
      <c r="AE35" s="136"/>
      <c r="AF35" s="136"/>
      <c r="AG35" s="136"/>
      <c r="AH35" s="136"/>
      <c r="AI35" s="136"/>
      <c r="AJ35" s="136"/>
      <c r="AK35" s="136"/>
      <c r="AM35" s="148"/>
      <c r="AN35" s="148"/>
      <c r="AO35" s="148"/>
      <c r="AP35" s="148"/>
      <c r="AQ35" s="148"/>
      <c r="AR35" s="148"/>
      <c r="AS35" s="148"/>
      <c r="AT35" s="148"/>
      <c r="AV35" s="136"/>
      <c r="AW35" s="136"/>
      <c r="AX35" s="136"/>
      <c r="AY35" s="136"/>
      <c r="AZ35" s="136"/>
      <c r="BA35" s="136"/>
      <c r="BB35" s="136"/>
      <c r="BC35" s="136"/>
    </row>
    <row r="36" spans="1:55" x14ac:dyDescent="0.25">
      <c r="A36" s="136"/>
      <c r="B36" s="136"/>
      <c r="C36" s="136"/>
      <c r="D36" s="136"/>
      <c r="E36" s="136"/>
      <c r="F36" s="136"/>
      <c r="G36" s="136"/>
      <c r="H36" s="136"/>
      <c r="I36" s="136"/>
      <c r="J36" s="136"/>
      <c r="L36" s="142"/>
      <c r="M36" s="143"/>
      <c r="N36" s="143"/>
      <c r="O36" s="143"/>
      <c r="P36" s="143"/>
      <c r="Q36" s="143"/>
      <c r="R36" s="143"/>
      <c r="S36" s="144"/>
      <c r="U36" s="136"/>
      <c r="V36" s="136"/>
      <c r="W36" s="136"/>
      <c r="X36" s="136"/>
      <c r="Y36" s="136"/>
      <c r="Z36" s="136"/>
      <c r="AA36" s="136"/>
      <c r="AB36" s="136"/>
      <c r="AD36" s="136"/>
      <c r="AE36" s="136"/>
      <c r="AF36" s="136"/>
      <c r="AG36" s="136"/>
      <c r="AH36" s="136"/>
      <c r="AI36" s="136"/>
      <c r="AJ36" s="136"/>
      <c r="AK36" s="136"/>
      <c r="AM36" s="148"/>
      <c r="AN36" s="148"/>
      <c r="AO36" s="148"/>
      <c r="AP36" s="148"/>
      <c r="AQ36" s="148"/>
      <c r="AR36" s="148"/>
      <c r="AS36" s="148"/>
      <c r="AT36" s="148"/>
      <c r="AV36" s="136"/>
      <c r="AW36" s="136"/>
      <c r="AX36" s="136"/>
      <c r="AY36" s="136"/>
      <c r="AZ36" s="136"/>
      <c r="BA36" s="136"/>
      <c r="BB36" s="136"/>
      <c r="BC36" s="136"/>
    </row>
    <row r="37" spans="1:55" x14ac:dyDescent="0.25">
      <c r="A37" s="136"/>
      <c r="B37" s="136"/>
      <c r="C37" s="136"/>
      <c r="D37" s="136"/>
      <c r="E37" s="136"/>
      <c r="F37" s="136"/>
      <c r="G37" s="136"/>
      <c r="H37" s="136"/>
      <c r="I37" s="136"/>
      <c r="J37" s="136"/>
      <c r="L37" s="142"/>
      <c r="M37" s="143"/>
      <c r="N37" s="143"/>
      <c r="O37" s="143"/>
      <c r="P37" s="143"/>
      <c r="Q37" s="143"/>
      <c r="R37" s="143"/>
      <c r="S37" s="144"/>
      <c r="U37" s="136"/>
      <c r="V37" s="136"/>
      <c r="W37" s="136"/>
      <c r="X37" s="136"/>
      <c r="Y37" s="136"/>
      <c r="Z37" s="136"/>
      <c r="AA37" s="136"/>
      <c r="AB37" s="136"/>
      <c r="AD37" s="136"/>
      <c r="AE37" s="136"/>
      <c r="AF37" s="136"/>
      <c r="AG37" s="136"/>
      <c r="AH37" s="136"/>
      <c r="AI37" s="136"/>
      <c r="AJ37" s="136"/>
      <c r="AK37" s="136"/>
      <c r="AM37" s="148"/>
      <c r="AN37" s="148"/>
      <c r="AO37" s="148"/>
      <c r="AP37" s="148"/>
      <c r="AQ37" s="148"/>
      <c r="AR37" s="148"/>
      <c r="AS37" s="148"/>
      <c r="AT37" s="148"/>
      <c r="AV37" s="136"/>
      <c r="AW37" s="136"/>
      <c r="AX37" s="136"/>
      <c r="AY37" s="136"/>
      <c r="AZ37" s="136"/>
      <c r="BA37" s="136"/>
      <c r="BB37" s="136"/>
      <c r="BC37" s="136"/>
    </row>
    <row r="38" spans="1:55" x14ac:dyDescent="0.25">
      <c r="A38" s="136"/>
      <c r="B38" s="136"/>
      <c r="C38" s="136"/>
      <c r="D38" s="136"/>
      <c r="E38" s="136"/>
      <c r="F38" s="136"/>
      <c r="G38" s="136"/>
      <c r="H38" s="136"/>
      <c r="I38" s="136"/>
      <c r="J38" s="136"/>
      <c r="L38" s="142"/>
      <c r="M38" s="143"/>
      <c r="N38" s="143"/>
      <c r="O38" s="143"/>
      <c r="P38" s="143"/>
      <c r="Q38" s="143"/>
      <c r="R38" s="143"/>
      <c r="S38" s="144"/>
      <c r="U38" s="136"/>
      <c r="V38" s="136"/>
      <c r="W38" s="136"/>
      <c r="X38" s="136"/>
      <c r="Y38" s="136"/>
      <c r="Z38" s="136"/>
      <c r="AA38" s="136"/>
      <c r="AB38" s="136"/>
      <c r="AD38" s="136"/>
      <c r="AE38" s="136"/>
      <c r="AF38" s="136"/>
      <c r="AG38" s="136"/>
      <c r="AH38" s="136"/>
      <c r="AI38" s="136"/>
      <c r="AJ38" s="136"/>
      <c r="AK38" s="136"/>
      <c r="AM38" s="148"/>
      <c r="AN38" s="148"/>
      <c r="AO38" s="148"/>
      <c r="AP38" s="148"/>
      <c r="AQ38" s="148"/>
      <c r="AR38" s="148"/>
      <c r="AS38" s="148"/>
      <c r="AT38" s="148"/>
      <c r="AV38" s="136"/>
      <c r="AW38" s="136"/>
      <c r="AX38" s="136"/>
      <c r="AY38" s="136"/>
      <c r="AZ38" s="136"/>
      <c r="BA38" s="136"/>
      <c r="BB38" s="136"/>
      <c r="BC38" s="136"/>
    </row>
    <row r="39" spans="1:55" x14ac:dyDescent="0.25">
      <c r="A39" s="136"/>
      <c r="B39" s="136"/>
      <c r="C39" s="136"/>
      <c r="D39" s="136"/>
      <c r="E39" s="136"/>
      <c r="F39" s="136"/>
      <c r="G39" s="136"/>
      <c r="H39" s="136"/>
      <c r="I39" s="136"/>
      <c r="J39" s="136"/>
      <c r="L39" s="142"/>
      <c r="M39" s="143"/>
      <c r="N39" s="143"/>
      <c r="O39" s="143"/>
      <c r="P39" s="143"/>
      <c r="Q39" s="143"/>
      <c r="R39" s="143"/>
      <c r="S39" s="144"/>
      <c r="U39" s="136"/>
      <c r="V39" s="136"/>
      <c r="W39" s="136"/>
      <c r="X39" s="136"/>
      <c r="Y39" s="136"/>
      <c r="Z39" s="136"/>
      <c r="AA39" s="136"/>
      <c r="AB39" s="136"/>
      <c r="AD39" s="136"/>
      <c r="AE39" s="136"/>
      <c r="AF39" s="136"/>
      <c r="AG39" s="136"/>
      <c r="AH39" s="136"/>
      <c r="AI39" s="136"/>
      <c r="AJ39" s="136"/>
      <c r="AK39" s="136"/>
      <c r="AM39" s="148"/>
      <c r="AN39" s="148"/>
      <c r="AO39" s="148"/>
      <c r="AP39" s="148"/>
      <c r="AQ39" s="148"/>
      <c r="AR39" s="148"/>
      <c r="AS39" s="148"/>
      <c r="AT39" s="148"/>
      <c r="AV39" s="136"/>
      <c r="AW39" s="136"/>
      <c r="AX39" s="136"/>
      <c r="AY39" s="136"/>
      <c r="AZ39" s="136"/>
      <c r="BA39" s="136"/>
      <c r="BB39" s="136"/>
      <c r="BC39" s="136"/>
    </row>
    <row r="40" spans="1:55" x14ac:dyDescent="0.25">
      <c r="A40" s="136"/>
      <c r="B40" s="136"/>
      <c r="C40" s="136"/>
      <c r="D40" s="136"/>
      <c r="E40" s="136"/>
      <c r="F40" s="136"/>
      <c r="G40" s="136"/>
      <c r="H40" s="136"/>
      <c r="I40" s="136"/>
      <c r="J40" s="136"/>
      <c r="L40" s="142"/>
      <c r="M40" s="143"/>
      <c r="N40" s="143"/>
      <c r="O40" s="143"/>
      <c r="P40" s="143"/>
      <c r="Q40" s="143"/>
      <c r="R40" s="143"/>
      <c r="S40" s="144"/>
      <c r="U40" s="136"/>
      <c r="V40" s="136"/>
      <c r="W40" s="136"/>
      <c r="X40" s="136"/>
      <c r="Y40" s="136"/>
      <c r="Z40" s="136"/>
      <c r="AA40" s="136"/>
      <c r="AB40" s="136"/>
      <c r="AD40" s="136"/>
      <c r="AE40" s="136"/>
      <c r="AF40" s="136"/>
      <c r="AG40" s="136"/>
      <c r="AH40" s="136"/>
      <c r="AI40" s="136"/>
      <c r="AJ40" s="136"/>
      <c r="AK40" s="136"/>
      <c r="AM40" s="148"/>
      <c r="AN40" s="148"/>
      <c r="AO40" s="148"/>
      <c r="AP40" s="148"/>
      <c r="AQ40" s="148"/>
      <c r="AR40" s="148"/>
      <c r="AS40" s="148"/>
      <c r="AT40" s="148"/>
      <c r="AV40" s="136"/>
      <c r="AW40" s="136"/>
      <c r="AX40" s="136"/>
      <c r="AY40" s="136"/>
      <c r="AZ40" s="136"/>
      <c r="BA40" s="136"/>
      <c r="BB40" s="136"/>
      <c r="BC40" s="136"/>
    </row>
    <row r="41" spans="1:55" x14ac:dyDescent="0.25">
      <c r="A41" s="136"/>
      <c r="B41" s="136"/>
      <c r="C41" s="136"/>
      <c r="D41" s="136"/>
      <c r="E41" s="136"/>
      <c r="F41" s="136"/>
      <c r="G41" s="136"/>
      <c r="H41" s="136"/>
      <c r="I41" s="136"/>
      <c r="J41" s="136"/>
      <c r="L41" s="142"/>
      <c r="M41" s="143"/>
      <c r="N41" s="143"/>
      <c r="O41" s="143"/>
      <c r="P41" s="143"/>
      <c r="Q41" s="143"/>
      <c r="R41" s="143"/>
      <c r="S41" s="144"/>
      <c r="U41" s="136"/>
      <c r="V41" s="136"/>
      <c r="W41" s="136"/>
      <c r="X41" s="136"/>
      <c r="Y41" s="136"/>
      <c r="Z41" s="136"/>
      <c r="AA41" s="136"/>
      <c r="AB41" s="136"/>
      <c r="AD41" s="136"/>
      <c r="AE41" s="136"/>
      <c r="AF41" s="136"/>
      <c r="AG41" s="136"/>
      <c r="AH41" s="136"/>
      <c r="AI41" s="136"/>
      <c r="AJ41" s="136"/>
      <c r="AK41" s="136"/>
      <c r="AM41" s="148"/>
      <c r="AN41" s="148"/>
      <c r="AO41" s="148"/>
      <c r="AP41" s="148"/>
      <c r="AQ41" s="148"/>
      <c r="AR41" s="148"/>
      <c r="AS41" s="148"/>
      <c r="AT41" s="148"/>
      <c r="AV41" s="136"/>
      <c r="AW41" s="136"/>
      <c r="AX41" s="136"/>
      <c r="AY41" s="136"/>
      <c r="AZ41" s="136"/>
      <c r="BA41" s="136"/>
      <c r="BB41" s="136"/>
      <c r="BC41" s="136"/>
    </row>
    <row r="42" spans="1:55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L42" s="142"/>
      <c r="M42" s="143"/>
      <c r="N42" s="143"/>
      <c r="O42" s="143"/>
      <c r="P42" s="143"/>
      <c r="Q42" s="143"/>
      <c r="R42" s="143"/>
      <c r="S42" s="144"/>
      <c r="U42" s="136"/>
      <c r="V42" s="136"/>
      <c r="W42" s="136"/>
      <c r="X42" s="136"/>
      <c r="Y42" s="136"/>
      <c r="Z42" s="136"/>
      <c r="AA42" s="136"/>
      <c r="AB42" s="136"/>
      <c r="AD42" s="136"/>
      <c r="AE42" s="136"/>
      <c r="AF42" s="136"/>
      <c r="AG42" s="136"/>
      <c r="AH42" s="136"/>
      <c r="AI42" s="136"/>
      <c r="AJ42" s="136"/>
      <c r="AK42" s="136"/>
      <c r="AM42" s="148"/>
      <c r="AN42" s="148"/>
      <c r="AO42" s="148"/>
      <c r="AP42" s="148"/>
      <c r="AQ42" s="148"/>
      <c r="AR42" s="148"/>
      <c r="AS42" s="148"/>
      <c r="AT42" s="148"/>
      <c r="AV42" s="136"/>
      <c r="AW42" s="136"/>
      <c r="AX42" s="136"/>
      <c r="AY42" s="136"/>
      <c r="AZ42" s="136"/>
      <c r="BA42" s="136"/>
      <c r="BB42" s="136"/>
      <c r="BC42" s="136"/>
    </row>
    <row r="43" spans="1:55" x14ac:dyDescent="0.25">
      <c r="A43" s="136"/>
      <c r="B43" s="136"/>
      <c r="C43" s="136"/>
      <c r="D43" s="136"/>
      <c r="E43" s="136"/>
      <c r="F43" s="136"/>
      <c r="G43" s="136"/>
      <c r="H43" s="136"/>
      <c r="I43" s="136"/>
      <c r="J43" s="136"/>
      <c r="L43" s="142"/>
      <c r="M43" s="143"/>
      <c r="N43" s="143"/>
      <c r="O43" s="143"/>
      <c r="P43" s="143"/>
      <c r="Q43" s="143"/>
      <c r="R43" s="143"/>
      <c r="S43" s="144"/>
      <c r="U43" s="136"/>
      <c r="V43" s="136"/>
      <c r="W43" s="136"/>
      <c r="X43" s="136"/>
      <c r="Y43" s="136"/>
      <c r="Z43" s="136"/>
      <c r="AA43" s="136"/>
      <c r="AB43" s="136"/>
      <c r="AD43" s="136"/>
      <c r="AE43" s="136"/>
      <c r="AF43" s="136"/>
      <c r="AG43" s="136"/>
      <c r="AH43" s="136"/>
      <c r="AI43" s="136"/>
      <c r="AJ43" s="136"/>
      <c r="AK43" s="136"/>
      <c r="AM43" s="148"/>
      <c r="AN43" s="148"/>
      <c r="AO43" s="148"/>
      <c r="AP43" s="148"/>
      <c r="AQ43" s="148"/>
      <c r="AR43" s="148"/>
      <c r="AS43" s="148"/>
      <c r="AT43" s="148"/>
      <c r="AV43" s="136"/>
      <c r="AW43" s="136"/>
      <c r="AX43" s="136"/>
      <c r="AY43" s="136"/>
      <c r="AZ43" s="136"/>
      <c r="BA43" s="136"/>
      <c r="BB43" s="136"/>
      <c r="BC43" s="136"/>
    </row>
    <row r="44" spans="1:55" x14ac:dyDescent="0.25">
      <c r="A44" s="136"/>
      <c r="B44" s="136"/>
      <c r="C44" s="136"/>
      <c r="D44" s="136"/>
      <c r="E44" s="136"/>
      <c r="F44" s="136"/>
      <c r="G44" s="136"/>
      <c r="H44" s="136"/>
      <c r="I44" s="136"/>
      <c r="J44" s="136"/>
      <c r="L44" s="142"/>
      <c r="M44" s="143"/>
      <c r="N44" s="143"/>
      <c r="O44" s="143"/>
      <c r="P44" s="143"/>
      <c r="Q44" s="143"/>
      <c r="R44" s="143"/>
      <c r="S44" s="144"/>
      <c r="U44" s="136"/>
      <c r="V44" s="136"/>
      <c r="W44" s="136"/>
      <c r="X44" s="136"/>
      <c r="Y44" s="136"/>
      <c r="Z44" s="136"/>
      <c r="AA44" s="136"/>
      <c r="AB44" s="136"/>
      <c r="AD44" s="136"/>
      <c r="AE44" s="136"/>
      <c r="AF44" s="136"/>
      <c r="AG44" s="136"/>
      <c r="AH44" s="136"/>
      <c r="AI44" s="136"/>
      <c r="AJ44" s="136"/>
      <c r="AK44" s="136"/>
      <c r="AM44" s="148"/>
      <c r="AN44" s="148"/>
      <c r="AO44" s="148"/>
      <c r="AP44" s="148"/>
      <c r="AQ44" s="148"/>
      <c r="AR44" s="148"/>
      <c r="AS44" s="148"/>
      <c r="AT44" s="148"/>
      <c r="AV44" s="136"/>
      <c r="AW44" s="136"/>
      <c r="AX44" s="136"/>
      <c r="AY44" s="136"/>
      <c r="AZ44" s="136"/>
      <c r="BA44" s="136"/>
      <c r="BB44" s="136"/>
      <c r="BC44" s="136"/>
    </row>
    <row r="45" spans="1:55" x14ac:dyDescent="0.2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L45" s="142"/>
      <c r="M45" s="143"/>
      <c r="N45" s="143"/>
      <c r="O45" s="143"/>
      <c r="P45" s="143"/>
      <c r="Q45" s="143"/>
      <c r="R45" s="143"/>
      <c r="S45" s="144"/>
      <c r="U45" s="136"/>
      <c r="V45" s="136"/>
      <c r="W45" s="136"/>
      <c r="X45" s="136"/>
      <c r="Y45" s="136"/>
      <c r="Z45" s="136"/>
      <c r="AA45" s="136"/>
      <c r="AB45" s="136"/>
      <c r="AD45" s="136"/>
      <c r="AE45" s="136"/>
      <c r="AF45" s="136"/>
      <c r="AG45" s="136"/>
      <c r="AH45" s="136"/>
      <c r="AI45" s="136"/>
      <c r="AJ45" s="136"/>
      <c r="AK45" s="136"/>
      <c r="AM45" s="148"/>
      <c r="AN45" s="148"/>
      <c r="AO45" s="148"/>
      <c r="AP45" s="148"/>
      <c r="AQ45" s="148"/>
      <c r="AR45" s="148"/>
      <c r="AS45" s="148"/>
      <c r="AT45" s="148"/>
      <c r="AV45" s="136"/>
      <c r="AW45" s="136"/>
      <c r="AX45" s="136"/>
      <c r="AY45" s="136"/>
      <c r="AZ45" s="136"/>
      <c r="BA45" s="136"/>
      <c r="BB45" s="136"/>
      <c r="BC45" s="136"/>
    </row>
    <row r="46" spans="1:55" x14ac:dyDescent="0.25">
      <c r="A46" s="136"/>
      <c r="B46" s="136"/>
      <c r="C46" s="136"/>
      <c r="D46" s="136"/>
      <c r="E46" s="136"/>
      <c r="F46" s="136"/>
      <c r="G46" s="136"/>
      <c r="H46" s="136"/>
      <c r="I46" s="136"/>
      <c r="J46" s="136"/>
      <c r="L46" s="142"/>
      <c r="M46" s="143"/>
      <c r="N46" s="143"/>
      <c r="O46" s="143"/>
      <c r="P46" s="143"/>
      <c r="Q46" s="143"/>
      <c r="R46" s="143"/>
      <c r="S46" s="144"/>
      <c r="U46" s="136"/>
      <c r="V46" s="136"/>
      <c r="W46" s="136"/>
      <c r="X46" s="136"/>
      <c r="Y46" s="136"/>
      <c r="Z46" s="136"/>
      <c r="AA46" s="136"/>
      <c r="AB46" s="136"/>
      <c r="AD46" s="136"/>
      <c r="AE46" s="136"/>
      <c r="AF46" s="136"/>
      <c r="AG46" s="136"/>
      <c r="AH46" s="136"/>
      <c r="AI46" s="136"/>
      <c r="AJ46" s="136"/>
      <c r="AK46" s="136"/>
      <c r="AM46" s="148"/>
      <c r="AN46" s="148"/>
      <c r="AO46" s="148"/>
      <c r="AP46" s="148"/>
      <c r="AQ46" s="148"/>
      <c r="AR46" s="148"/>
      <c r="AS46" s="148"/>
      <c r="AT46" s="148"/>
      <c r="AV46" s="136"/>
      <c r="AW46" s="136"/>
      <c r="AX46" s="136"/>
      <c r="AY46" s="136"/>
      <c r="AZ46" s="136"/>
      <c r="BA46" s="136"/>
      <c r="BB46" s="136"/>
      <c r="BC46" s="136"/>
    </row>
    <row r="47" spans="1:55" x14ac:dyDescent="0.25">
      <c r="A47" s="136"/>
      <c r="B47" s="136"/>
      <c r="C47" s="136"/>
      <c r="D47" s="136"/>
      <c r="E47" s="136"/>
      <c r="F47" s="136"/>
      <c r="G47" s="136"/>
      <c r="H47" s="136"/>
      <c r="I47" s="136"/>
      <c r="J47" s="136"/>
      <c r="L47" s="142"/>
      <c r="M47" s="143"/>
      <c r="N47" s="143"/>
      <c r="O47" s="143"/>
      <c r="P47" s="143"/>
      <c r="Q47" s="143"/>
      <c r="R47" s="143"/>
      <c r="S47" s="144"/>
      <c r="U47" s="136"/>
      <c r="V47" s="136"/>
      <c r="W47" s="136"/>
      <c r="X47" s="136"/>
      <c r="Y47" s="136"/>
      <c r="Z47" s="136"/>
      <c r="AA47" s="136"/>
      <c r="AB47" s="136"/>
      <c r="AD47" s="136"/>
      <c r="AE47" s="136"/>
      <c r="AF47" s="136"/>
      <c r="AG47" s="136"/>
      <c r="AH47" s="136"/>
      <c r="AI47" s="136"/>
      <c r="AJ47" s="136"/>
      <c r="AK47" s="136"/>
      <c r="AM47" s="148"/>
      <c r="AN47" s="148"/>
      <c r="AO47" s="148"/>
      <c r="AP47" s="148"/>
      <c r="AQ47" s="148"/>
      <c r="AR47" s="148"/>
      <c r="AS47" s="148"/>
      <c r="AT47" s="148"/>
      <c r="AV47" s="136"/>
      <c r="AW47" s="136"/>
      <c r="AX47" s="136"/>
      <c r="AY47" s="136"/>
      <c r="AZ47" s="136"/>
      <c r="BA47" s="136"/>
      <c r="BB47" s="136"/>
      <c r="BC47" s="136"/>
    </row>
    <row r="48" spans="1:55" x14ac:dyDescent="0.25">
      <c r="A48" s="136"/>
      <c r="B48" s="136"/>
      <c r="C48" s="136"/>
      <c r="D48" s="136"/>
      <c r="E48" s="136"/>
      <c r="F48" s="136"/>
      <c r="G48" s="136"/>
      <c r="H48" s="136"/>
      <c r="I48" s="136"/>
      <c r="J48" s="136"/>
      <c r="L48" s="142"/>
      <c r="M48" s="143"/>
      <c r="N48" s="143"/>
      <c r="O48" s="143"/>
      <c r="P48" s="143"/>
      <c r="Q48" s="143"/>
      <c r="R48" s="143"/>
      <c r="S48" s="144"/>
      <c r="U48" s="136"/>
      <c r="V48" s="136"/>
      <c r="W48" s="136"/>
      <c r="X48" s="136"/>
      <c r="Y48" s="136"/>
      <c r="Z48" s="136"/>
      <c r="AA48" s="136"/>
      <c r="AB48" s="136"/>
      <c r="AD48" s="136"/>
      <c r="AE48" s="136"/>
      <c r="AF48" s="136"/>
      <c r="AG48" s="136"/>
      <c r="AH48" s="136"/>
      <c r="AI48" s="136"/>
      <c r="AJ48" s="136"/>
      <c r="AK48" s="136"/>
      <c r="AM48" s="148"/>
      <c r="AN48" s="148"/>
      <c r="AO48" s="148"/>
      <c r="AP48" s="148"/>
      <c r="AQ48" s="148"/>
      <c r="AR48" s="148"/>
      <c r="AS48" s="148"/>
      <c r="AT48" s="148"/>
      <c r="AV48" s="136"/>
      <c r="AW48" s="136"/>
      <c r="AX48" s="136"/>
      <c r="AY48" s="136"/>
      <c r="AZ48" s="136"/>
      <c r="BA48" s="136"/>
      <c r="BB48" s="136"/>
      <c r="BC48" s="136"/>
    </row>
    <row r="49" spans="1:55" x14ac:dyDescent="0.25">
      <c r="A49" s="136"/>
      <c r="B49" s="136"/>
      <c r="C49" s="136"/>
      <c r="D49" s="136"/>
      <c r="E49" s="136"/>
      <c r="F49" s="136"/>
      <c r="G49" s="136"/>
      <c r="H49" s="136"/>
      <c r="I49" s="136"/>
      <c r="J49" s="136"/>
      <c r="L49" s="142"/>
      <c r="M49" s="143"/>
      <c r="N49" s="143"/>
      <c r="O49" s="143"/>
      <c r="P49" s="143"/>
      <c r="Q49" s="143"/>
      <c r="R49" s="143"/>
      <c r="S49" s="144"/>
      <c r="U49" s="136"/>
      <c r="V49" s="136"/>
      <c r="W49" s="136"/>
      <c r="X49" s="136"/>
      <c r="Y49" s="136"/>
      <c r="Z49" s="136"/>
      <c r="AA49" s="136"/>
      <c r="AB49" s="136"/>
      <c r="AD49" s="136"/>
      <c r="AE49" s="136"/>
      <c r="AF49" s="136"/>
      <c r="AG49" s="136"/>
      <c r="AH49" s="136"/>
      <c r="AI49" s="136"/>
      <c r="AJ49" s="136"/>
      <c r="AK49" s="136"/>
      <c r="AM49" s="148"/>
      <c r="AN49" s="148"/>
      <c r="AO49" s="148"/>
      <c r="AP49" s="148"/>
      <c r="AQ49" s="148"/>
      <c r="AR49" s="148"/>
      <c r="AS49" s="148"/>
      <c r="AT49" s="148"/>
      <c r="AV49" s="136"/>
      <c r="AW49" s="136"/>
      <c r="AX49" s="136"/>
      <c r="AY49" s="136"/>
      <c r="AZ49" s="136"/>
      <c r="BA49" s="136"/>
      <c r="BB49" s="136"/>
      <c r="BC49" s="136"/>
    </row>
    <row r="50" spans="1:55" x14ac:dyDescent="0.25">
      <c r="A50" s="136"/>
      <c r="B50" s="136"/>
      <c r="C50" s="136"/>
      <c r="D50" s="136"/>
      <c r="E50" s="136"/>
      <c r="F50" s="136"/>
      <c r="G50" s="136"/>
      <c r="H50" s="136"/>
      <c r="I50" s="136"/>
      <c r="J50" s="136"/>
      <c r="L50" s="142"/>
      <c r="M50" s="143"/>
      <c r="N50" s="143"/>
      <c r="O50" s="143"/>
      <c r="P50" s="143"/>
      <c r="Q50" s="143"/>
      <c r="R50" s="143"/>
      <c r="S50" s="144"/>
      <c r="U50" s="136"/>
      <c r="V50" s="136"/>
      <c r="W50" s="136"/>
      <c r="X50" s="136"/>
      <c r="Y50" s="136"/>
      <c r="Z50" s="136"/>
      <c r="AA50" s="136"/>
      <c r="AB50" s="136"/>
      <c r="AD50" s="136"/>
      <c r="AE50" s="136"/>
      <c r="AF50" s="136"/>
      <c r="AG50" s="136"/>
      <c r="AH50" s="136"/>
      <c r="AI50" s="136"/>
      <c r="AJ50" s="136"/>
      <c r="AK50" s="136"/>
      <c r="AM50" s="148"/>
      <c r="AN50" s="148"/>
      <c r="AO50" s="148"/>
      <c r="AP50" s="148"/>
      <c r="AQ50" s="148"/>
      <c r="AR50" s="148"/>
      <c r="AS50" s="148"/>
      <c r="AT50" s="148"/>
      <c r="AV50" s="136"/>
      <c r="AW50" s="136"/>
      <c r="AX50" s="136"/>
      <c r="AY50" s="136"/>
      <c r="AZ50" s="136"/>
      <c r="BA50" s="136"/>
      <c r="BB50" s="136"/>
      <c r="BC50" s="136"/>
    </row>
    <row r="51" spans="1:55" x14ac:dyDescent="0.25">
      <c r="A51" s="136"/>
      <c r="B51" s="136"/>
      <c r="C51" s="136"/>
      <c r="D51" s="136"/>
      <c r="E51" s="136"/>
      <c r="F51" s="136"/>
      <c r="G51" s="136"/>
      <c r="H51" s="136"/>
      <c r="I51" s="136"/>
      <c r="J51" s="136"/>
      <c r="L51" s="142"/>
      <c r="M51" s="143"/>
      <c r="N51" s="143"/>
      <c r="O51" s="143"/>
      <c r="P51" s="143"/>
      <c r="Q51" s="143"/>
      <c r="R51" s="143"/>
      <c r="S51" s="144"/>
      <c r="U51" s="136"/>
      <c r="V51" s="136"/>
      <c r="W51" s="136"/>
      <c r="X51" s="136"/>
      <c r="Y51" s="136"/>
      <c r="Z51" s="136"/>
      <c r="AA51" s="136"/>
      <c r="AB51" s="136"/>
      <c r="AD51" s="136"/>
      <c r="AE51" s="136"/>
      <c r="AF51" s="136"/>
      <c r="AG51" s="136"/>
      <c r="AH51" s="136"/>
      <c r="AI51" s="136"/>
      <c r="AJ51" s="136"/>
      <c r="AK51" s="136"/>
      <c r="AM51" s="148"/>
      <c r="AN51" s="148"/>
      <c r="AO51" s="148"/>
      <c r="AP51" s="148"/>
      <c r="AQ51" s="148"/>
      <c r="AR51" s="148"/>
      <c r="AS51" s="148"/>
      <c r="AT51" s="148"/>
      <c r="AV51" s="136"/>
      <c r="AW51" s="136"/>
      <c r="AX51" s="136"/>
      <c r="AY51" s="136"/>
      <c r="AZ51" s="136"/>
      <c r="BA51" s="136"/>
      <c r="BB51" s="136"/>
      <c r="BC51" s="136"/>
    </row>
    <row r="52" spans="1:55" x14ac:dyDescent="0.25">
      <c r="A52" s="136"/>
      <c r="B52" s="136"/>
      <c r="C52" s="136"/>
      <c r="D52" s="136"/>
      <c r="E52" s="136"/>
      <c r="F52" s="136"/>
      <c r="G52" s="136"/>
      <c r="H52" s="136"/>
      <c r="I52" s="136"/>
      <c r="J52" s="136"/>
      <c r="L52" s="145"/>
      <c r="M52" s="146"/>
      <c r="N52" s="146"/>
      <c r="O52" s="146"/>
      <c r="P52" s="146"/>
      <c r="Q52" s="146"/>
      <c r="R52" s="146"/>
      <c r="S52" s="147"/>
      <c r="U52" s="136"/>
      <c r="V52" s="136"/>
      <c r="W52" s="136"/>
      <c r="X52" s="136"/>
      <c r="Y52" s="136"/>
      <c r="Z52" s="136"/>
      <c r="AA52" s="136"/>
      <c r="AB52" s="136"/>
      <c r="AD52" s="136"/>
      <c r="AE52" s="136"/>
      <c r="AF52" s="136"/>
      <c r="AG52" s="136"/>
      <c r="AH52" s="136"/>
      <c r="AI52" s="136"/>
      <c r="AJ52" s="136"/>
      <c r="AK52" s="136"/>
      <c r="AM52" s="148"/>
      <c r="AN52" s="148"/>
      <c r="AO52" s="148"/>
      <c r="AP52" s="148"/>
      <c r="AQ52" s="148"/>
      <c r="AR52" s="148"/>
      <c r="AS52" s="148"/>
      <c r="AT52" s="148"/>
      <c r="AV52" s="136"/>
      <c r="AW52" s="136"/>
      <c r="AX52" s="136"/>
      <c r="AY52" s="136"/>
      <c r="AZ52" s="136"/>
      <c r="BA52" s="136"/>
      <c r="BB52" s="136"/>
      <c r="BC52" s="136"/>
    </row>
    <row r="53" spans="1:55" x14ac:dyDescent="0.25">
      <c r="A53" s="46" t="s">
        <v>130</v>
      </c>
      <c r="B53" s="46"/>
      <c r="C53" s="46"/>
      <c r="D53" s="46"/>
      <c r="E53" s="46"/>
      <c r="F53" s="46"/>
      <c r="G53" s="46"/>
      <c r="H53" s="46"/>
      <c r="I53" s="46"/>
      <c r="J53" s="12" t="str">
        <f>IF(COUNTIF(J54:J57, "="&amp;IncompleteText), IncompleteText, IF(COUNTIF(J54:J57, "="&amp;ErrorText), ErrorText, OKText))</f>
        <v>BLANK</v>
      </c>
      <c r="L53" s="138" t="s">
        <v>131</v>
      </c>
      <c r="M53" s="138"/>
      <c r="N53" s="138"/>
      <c r="O53" s="138"/>
      <c r="P53" s="138"/>
      <c r="Q53" s="138"/>
      <c r="R53" s="138"/>
      <c r="S53" s="12" t="str">
        <f>IF(COUNTIF(S54:S56, "="&amp;IncompleteText), IncompleteText, IF(COUNTIF(S54:S56, "="&amp;ErrorText), ErrorText, OKText))</f>
        <v>BLANK</v>
      </c>
      <c r="U53" s="46" t="s">
        <v>132</v>
      </c>
      <c r="V53" s="46"/>
      <c r="W53" s="46"/>
      <c r="X53" s="46"/>
      <c r="Y53" s="46"/>
      <c r="Z53" s="46"/>
      <c r="AA53" s="46"/>
      <c r="AB53" s="12" t="str">
        <f>IF(COUNTIF(AB54:AB55, "="&amp;IncompleteText), IncompleteText, IF(COUNTIF(AB54:AB55, "="&amp;ErrorText), ErrorText, OKText))</f>
        <v>BLANK</v>
      </c>
      <c r="AD53" s="46" t="s">
        <v>299</v>
      </c>
      <c r="AE53" s="46"/>
      <c r="AF53" s="46"/>
      <c r="AG53" s="46"/>
      <c r="AH53" s="46"/>
      <c r="AI53" s="46"/>
      <c r="AJ53" s="46"/>
      <c r="AK53" s="12" t="str">
        <f>IF(COUNTIF(AK54, "="&amp;IncompleteText), IncompleteText, IF(COUNTIF(AK54, "="&amp;ErrorText), ErrorText, OKText))</f>
        <v>BLANK</v>
      </c>
      <c r="AM53" s="46" t="s">
        <v>342</v>
      </c>
      <c r="AN53" s="46"/>
      <c r="AO53" s="46"/>
      <c r="AP53" s="46"/>
      <c r="AQ53" s="46"/>
      <c r="AR53" s="46"/>
      <c r="AS53" s="46"/>
      <c r="AT53" s="12" t="str">
        <f>IF(COUNTIF(AT54, "="&amp;IncompleteText), IncompleteText, IF(COUNTIF(AT54, "="&amp;ErrorText), ErrorText, OKText))</f>
        <v>BLANK</v>
      </c>
      <c r="AV53" s="46" t="s">
        <v>342</v>
      </c>
      <c r="AW53" s="46"/>
      <c r="AX53" s="46"/>
      <c r="AY53" s="46"/>
      <c r="AZ53" s="46"/>
      <c r="BA53" s="46"/>
      <c r="BB53" s="46"/>
      <c r="BC53" s="12" t="str">
        <f>IF(COUNTIF(BC54, "="&amp;IncompleteText), IncompleteText, IF(COUNTIF(BC54, "="&amp;ErrorText), ErrorText, OKText))</f>
        <v>BLANK</v>
      </c>
    </row>
    <row r="54" spans="1:55" x14ac:dyDescent="0.25">
      <c r="A54" s="83" t="s">
        <v>133</v>
      </c>
      <c r="B54" s="83"/>
      <c r="C54" s="83"/>
      <c r="D54" s="83"/>
      <c r="E54" s="83"/>
      <c r="F54" s="83"/>
      <c r="G54" s="83"/>
      <c r="H54" s="83"/>
      <c r="I54" s="3"/>
      <c r="J54" s="12" t="str">
        <f>IF(ISBLANK(I54),IncompleteText, IF(I54, OKText, ErrorText))</f>
        <v>BLANK</v>
      </c>
      <c r="L54" s="83" t="s">
        <v>307</v>
      </c>
      <c r="M54" s="83"/>
      <c r="N54" s="83"/>
      <c r="O54" s="83"/>
      <c r="P54" s="83"/>
      <c r="Q54" s="85"/>
      <c r="R54" s="3"/>
      <c r="S54" s="12" t="str">
        <f>IF(ISBLANK(R54),IncompleteText, IF(R54, OKText, ErrorText))</f>
        <v>BLANK</v>
      </c>
      <c r="U54" s="83" t="s">
        <v>134</v>
      </c>
      <c r="V54" s="83"/>
      <c r="W54" s="83"/>
      <c r="X54" s="83"/>
      <c r="Y54" s="83"/>
      <c r="Z54" s="85"/>
      <c r="AA54" s="3"/>
      <c r="AB54" s="12" t="str">
        <f>IF(ISBLANK(AA54),IncompleteText, IF(AA54, OKText, ErrorText))</f>
        <v>BLANK</v>
      </c>
      <c r="AD54" s="83" t="s">
        <v>296</v>
      </c>
      <c r="AE54" s="83"/>
      <c r="AF54" s="83"/>
      <c r="AG54" s="83"/>
      <c r="AH54" s="83"/>
      <c r="AI54" s="85"/>
      <c r="AJ54" s="3"/>
      <c r="AK54" s="12" t="str">
        <f>IF(ISBLANK(AJ54),IncompleteText, IF(AJ54, OKText, ErrorText))</f>
        <v>BLANK</v>
      </c>
      <c r="AM54" s="83" t="s">
        <v>345</v>
      </c>
      <c r="AN54" s="83"/>
      <c r="AO54" s="83"/>
      <c r="AP54" s="83"/>
      <c r="AQ54" s="83"/>
      <c r="AR54" s="85"/>
      <c r="AS54" s="3"/>
      <c r="AT54" s="12" t="str">
        <f>IF(ISBLANK(AS54),IncompleteText, IF(AS54, OKText, ErrorText))</f>
        <v>BLANK</v>
      </c>
      <c r="AV54" s="83" t="s">
        <v>135</v>
      </c>
      <c r="AW54" s="83"/>
      <c r="AX54" s="83"/>
      <c r="AY54" s="83"/>
      <c r="AZ54" s="83"/>
      <c r="BA54" s="85"/>
      <c r="BB54" s="3"/>
      <c r="BC54" s="12" t="str">
        <f>IF(ISBLANK(BB54),IncompleteText, IF(BB54, OKText, ErrorText))</f>
        <v>BLANK</v>
      </c>
    </row>
    <row r="55" spans="1:55" x14ac:dyDescent="0.25">
      <c r="A55" s="83" t="s">
        <v>136</v>
      </c>
      <c r="B55" s="83"/>
      <c r="C55" s="83"/>
      <c r="D55" s="83"/>
      <c r="E55" s="83"/>
      <c r="F55" s="83"/>
      <c r="G55" s="83"/>
      <c r="H55" s="83"/>
      <c r="I55" s="3"/>
      <c r="J55" s="12" t="str">
        <f>IF(ISBLANK(I55),IncompleteText, IF(I55, OKText, ErrorText))</f>
        <v>BLANK</v>
      </c>
      <c r="L55" s="83" t="s">
        <v>332</v>
      </c>
      <c r="M55" s="83"/>
      <c r="N55" s="83"/>
      <c r="O55" s="83"/>
      <c r="P55" s="83"/>
      <c r="Q55" s="85"/>
      <c r="R55" s="3"/>
      <c r="S55" s="12" t="str">
        <f>IF($B$12=1,OKText,IF(ISBLANK(R55),IncompleteText, IF(R55, OKText, ErrorText)))</f>
        <v>BLANK</v>
      </c>
      <c r="U55" s="83" t="s">
        <v>327</v>
      </c>
      <c r="V55" s="83"/>
      <c r="W55" s="83"/>
      <c r="X55" s="83"/>
      <c r="Y55" s="83"/>
      <c r="Z55" s="85"/>
      <c r="AA55" s="3"/>
      <c r="AB55" s="12" t="str">
        <f>IF(ISBLANK(AA55),IncompleteText, IF(AA55, OKText, ErrorText))</f>
        <v>BLANK</v>
      </c>
      <c r="AD55" s="46" t="s">
        <v>15</v>
      </c>
      <c r="AE55" s="46"/>
      <c r="AF55" s="46"/>
      <c r="AG55" s="46"/>
      <c r="AH55" s="46"/>
      <c r="AI55" s="46"/>
      <c r="AJ55" s="46"/>
      <c r="AK55" s="15" t="s">
        <v>45</v>
      </c>
      <c r="AM55" s="46" t="s">
        <v>15</v>
      </c>
      <c r="AN55" s="46"/>
      <c r="AO55" s="46"/>
      <c r="AP55" s="46"/>
      <c r="AQ55" s="46"/>
      <c r="AR55" s="46"/>
      <c r="AS55" s="46"/>
      <c r="AT55" s="15" t="s">
        <v>45</v>
      </c>
      <c r="AV55" s="46" t="s">
        <v>15</v>
      </c>
      <c r="AW55" s="46"/>
      <c r="AX55" s="46"/>
      <c r="AY55" s="46"/>
      <c r="AZ55" s="46"/>
      <c r="BA55" s="46"/>
      <c r="BB55" s="46"/>
      <c r="BC55" s="15" t="s">
        <v>45</v>
      </c>
    </row>
    <row r="56" spans="1:55" x14ac:dyDescent="0.25">
      <c r="A56" s="83" t="s">
        <v>352</v>
      </c>
      <c r="B56" s="83"/>
      <c r="C56" s="83"/>
      <c r="D56" s="83"/>
      <c r="E56" s="83"/>
      <c r="F56" s="83"/>
      <c r="G56" s="83"/>
      <c r="H56" s="83"/>
      <c r="I56" s="3"/>
      <c r="J56" s="12" t="str">
        <f>IF(ISBLANK(I56),IncompleteText, IF(I56, OKText, ErrorText))</f>
        <v>BLANK</v>
      </c>
      <c r="L56" s="83" t="s">
        <v>323</v>
      </c>
      <c r="M56" s="83"/>
      <c r="N56" s="83"/>
      <c r="O56" s="83"/>
      <c r="P56" s="83"/>
      <c r="Q56" s="85"/>
      <c r="R56" s="3"/>
      <c r="S56" s="12" t="str">
        <f>IF(ISBLANK(R56),IncompleteText, IF(R56, OKText, ErrorText))</f>
        <v>BLANK</v>
      </c>
      <c r="U56" s="46" t="s">
        <v>15</v>
      </c>
      <c r="V56" s="46"/>
      <c r="W56" s="46"/>
      <c r="X56" s="46"/>
      <c r="Y56" s="46"/>
      <c r="Z56" s="46"/>
      <c r="AA56" s="46"/>
      <c r="AB56" s="15" t="s">
        <v>45</v>
      </c>
      <c r="AD56" s="134"/>
      <c r="AE56" s="134"/>
      <c r="AF56" s="134"/>
      <c r="AG56" s="134"/>
      <c r="AH56" s="134"/>
      <c r="AI56" s="134"/>
      <c r="AJ56" s="134"/>
      <c r="AK56" s="119" t="s">
        <v>271</v>
      </c>
      <c r="AM56" s="134"/>
      <c r="AN56" s="134"/>
      <c r="AO56" s="134"/>
      <c r="AP56" s="134"/>
      <c r="AQ56" s="134"/>
      <c r="AR56" s="134"/>
      <c r="AS56" s="134"/>
      <c r="AT56" s="137" t="s">
        <v>272</v>
      </c>
      <c r="AV56" s="134"/>
      <c r="AW56" s="134"/>
      <c r="AX56" s="134"/>
      <c r="AY56" s="134"/>
      <c r="AZ56" s="134"/>
      <c r="BA56" s="134"/>
      <c r="BB56" s="134"/>
      <c r="BC56" s="137" t="s">
        <v>272</v>
      </c>
    </row>
    <row r="57" spans="1:55" s="10" customFormat="1" x14ac:dyDescent="0.25">
      <c r="A57" s="83" t="s">
        <v>137</v>
      </c>
      <c r="B57" s="83"/>
      <c r="C57" s="83"/>
      <c r="D57" s="83"/>
      <c r="E57" s="83"/>
      <c r="F57" s="83"/>
      <c r="G57" s="83"/>
      <c r="H57" s="83"/>
      <c r="I57" s="3"/>
      <c r="J57" s="12" t="str">
        <f>IF(ISBLANK(I57),IncompleteText, IF(I57, OKText, ErrorText))</f>
        <v>BLANK</v>
      </c>
      <c r="L57" s="53" t="s">
        <v>15</v>
      </c>
      <c r="M57" s="53"/>
      <c r="N57" s="53"/>
      <c r="O57" s="53"/>
      <c r="P57" s="53"/>
      <c r="Q57" s="53"/>
      <c r="R57" s="135"/>
      <c r="S57" s="15" t="s">
        <v>45</v>
      </c>
      <c r="U57" s="134"/>
      <c r="V57" s="134"/>
      <c r="W57" s="134"/>
      <c r="X57" s="134"/>
      <c r="Y57" s="134"/>
      <c r="Z57" s="134"/>
      <c r="AA57" s="134"/>
      <c r="AB57" s="119" t="s">
        <v>378</v>
      </c>
      <c r="AD57" s="134"/>
      <c r="AE57" s="134"/>
      <c r="AF57" s="134"/>
      <c r="AG57" s="134"/>
      <c r="AH57" s="134"/>
      <c r="AI57" s="134"/>
      <c r="AJ57" s="134"/>
      <c r="AK57" s="120"/>
      <c r="AM57" s="134"/>
      <c r="AN57" s="134"/>
      <c r="AO57" s="134"/>
      <c r="AP57" s="134"/>
      <c r="AQ57" s="134"/>
      <c r="AR57" s="134"/>
      <c r="AS57" s="134"/>
      <c r="AT57" s="120"/>
      <c r="AV57" s="134"/>
      <c r="AW57" s="134"/>
      <c r="AX57" s="134"/>
      <c r="AY57" s="134"/>
      <c r="AZ57" s="134"/>
      <c r="BA57" s="134"/>
      <c r="BB57" s="134"/>
      <c r="BC57" s="120"/>
    </row>
    <row r="58" spans="1:55" s="10" customFormat="1" x14ac:dyDescent="0.25">
      <c r="A58" s="46" t="s">
        <v>15</v>
      </c>
      <c r="B58" s="46"/>
      <c r="C58" s="46"/>
      <c r="D58" s="46"/>
      <c r="E58" s="46"/>
      <c r="F58" s="46"/>
      <c r="G58" s="46"/>
      <c r="H58" s="46"/>
      <c r="I58" s="46"/>
      <c r="J58" s="15" t="s">
        <v>45</v>
      </c>
      <c r="L58" s="70"/>
      <c r="M58" s="71"/>
      <c r="N58" s="71"/>
      <c r="O58" s="71"/>
      <c r="P58" s="71"/>
      <c r="Q58" s="71"/>
      <c r="R58" s="72"/>
      <c r="S58" s="137" t="s">
        <v>377</v>
      </c>
      <c r="U58" s="134"/>
      <c r="V58" s="134"/>
      <c r="W58" s="134"/>
      <c r="X58" s="134"/>
      <c r="Y58" s="134"/>
      <c r="Z58" s="134"/>
      <c r="AA58" s="134"/>
      <c r="AB58" s="120"/>
      <c r="AD58" s="134"/>
      <c r="AE58" s="134"/>
      <c r="AF58" s="134"/>
      <c r="AG58" s="134"/>
      <c r="AH58" s="134"/>
      <c r="AI58" s="134"/>
      <c r="AJ58" s="134"/>
      <c r="AK58" s="120"/>
      <c r="AM58" s="134"/>
      <c r="AN58" s="134"/>
      <c r="AO58" s="134"/>
      <c r="AP58" s="134"/>
      <c r="AQ58" s="134"/>
      <c r="AR58" s="134"/>
      <c r="AS58" s="134"/>
      <c r="AT58" s="120"/>
      <c r="AV58" s="134"/>
      <c r="AW58" s="134"/>
      <c r="AX58" s="134"/>
      <c r="AY58" s="134"/>
      <c r="AZ58" s="134"/>
      <c r="BA58" s="134"/>
      <c r="BB58" s="134"/>
      <c r="BC58" s="120"/>
    </row>
    <row r="59" spans="1:55" s="10" customFormat="1" x14ac:dyDescent="0.25">
      <c r="A59" s="122"/>
      <c r="B59" s="123"/>
      <c r="C59" s="123"/>
      <c r="D59" s="123"/>
      <c r="E59" s="123"/>
      <c r="F59" s="123"/>
      <c r="G59" s="123"/>
      <c r="H59" s="123"/>
      <c r="I59" s="124"/>
      <c r="J59" s="119" t="s">
        <v>267</v>
      </c>
      <c r="L59" s="73"/>
      <c r="M59" s="74"/>
      <c r="N59" s="74"/>
      <c r="O59" s="74"/>
      <c r="P59" s="74"/>
      <c r="Q59" s="74"/>
      <c r="R59" s="75"/>
      <c r="S59" s="120"/>
      <c r="U59" s="134"/>
      <c r="V59" s="134"/>
      <c r="W59" s="134"/>
      <c r="X59" s="134"/>
      <c r="Y59" s="134"/>
      <c r="Z59" s="134"/>
      <c r="AA59" s="134"/>
      <c r="AB59" s="120"/>
      <c r="AD59" s="134"/>
      <c r="AE59" s="134"/>
      <c r="AF59" s="134"/>
      <c r="AG59" s="134"/>
      <c r="AH59" s="134"/>
      <c r="AI59" s="134"/>
      <c r="AJ59" s="134"/>
      <c r="AK59" s="121"/>
      <c r="AM59" s="134"/>
      <c r="AN59" s="134"/>
      <c r="AO59" s="134"/>
      <c r="AP59" s="134"/>
      <c r="AQ59" s="134"/>
      <c r="AR59" s="134"/>
      <c r="AS59" s="134"/>
      <c r="AT59" s="121"/>
      <c r="AV59" s="134"/>
      <c r="AW59" s="134"/>
      <c r="AX59" s="134"/>
      <c r="AY59" s="134"/>
      <c r="AZ59" s="134"/>
      <c r="BA59" s="134"/>
      <c r="BB59" s="134"/>
      <c r="BC59" s="121"/>
    </row>
    <row r="60" spans="1:55" s="10" customFormat="1" x14ac:dyDescent="0.25">
      <c r="A60" s="125"/>
      <c r="B60" s="126"/>
      <c r="C60" s="126"/>
      <c r="D60" s="126"/>
      <c r="E60" s="126"/>
      <c r="F60" s="126"/>
      <c r="G60" s="126"/>
      <c r="H60" s="126"/>
      <c r="I60" s="127"/>
      <c r="J60" s="120"/>
      <c r="L60" s="73"/>
      <c r="M60" s="74"/>
      <c r="N60" s="74"/>
      <c r="O60" s="74"/>
      <c r="P60" s="74"/>
      <c r="Q60" s="74"/>
      <c r="R60" s="75"/>
      <c r="S60" s="120"/>
      <c r="U60" s="134"/>
      <c r="V60" s="134"/>
      <c r="W60" s="134"/>
      <c r="X60" s="134"/>
      <c r="Y60" s="134"/>
      <c r="Z60" s="134"/>
      <c r="AA60" s="134"/>
      <c r="AB60" s="121"/>
    </row>
    <row r="61" spans="1:55" x14ac:dyDescent="0.25">
      <c r="A61" s="128"/>
      <c r="B61" s="129"/>
      <c r="C61" s="129"/>
      <c r="D61" s="129"/>
      <c r="E61" s="129"/>
      <c r="F61" s="129"/>
      <c r="G61" s="129"/>
      <c r="H61" s="129"/>
      <c r="I61" s="130"/>
      <c r="J61" s="121"/>
      <c r="L61" s="76"/>
      <c r="M61" s="77"/>
      <c r="N61" s="77"/>
      <c r="O61" s="77"/>
      <c r="P61" s="77"/>
      <c r="Q61" s="77"/>
      <c r="R61" s="78"/>
      <c r="S61" s="121"/>
    </row>
    <row r="63" spans="1:55" x14ac:dyDescent="0.25">
      <c r="A63" s="46" t="s">
        <v>138</v>
      </c>
      <c r="B63" s="46"/>
      <c r="C63" s="46"/>
      <c r="D63" s="46"/>
      <c r="E63" s="46"/>
      <c r="F63" s="46"/>
      <c r="G63" s="46"/>
      <c r="H63" s="12" t="str">
        <f>IF(B12=1, OKText, IF(COUNTIF(H64:H75, "="&amp;IncompleteText), IncompleteText, IF(COUNTIF(H64:H75, "="&amp;ErrorText), ErrorText, OKText)))</f>
        <v>BLANK</v>
      </c>
      <c r="I63" s="113" t="s">
        <v>139</v>
      </c>
      <c r="J63" s="114"/>
    </row>
    <row r="64" spans="1:55" ht="13.75" customHeight="1" x14ac:dyDescent="0.25">
      <c r="A64" s="83" t="s">
        <v>140</v>
      </c>
      <c r="B64" s="83"/>
      <c r="C64" s="85"/>
      <c r="D64" s="26"/>
      <c r="E64" s="26"/>
      <c r="F64" s="109"/>
      <c r="G64" s="110"/>
      <c r="H64" s="12" t="str">
        <f>IF(B12 &lt;&gt; 1, IF(ISBLANK(F64),IncompleteText,OKText), "")</f>
        <v>BLANK</v>
      </c>
      <c r="I64" s="115" t="s">
        <v>379</v>
      </c>
      <c r="J64" s="115"/>
    </row>
    <row r="65" spans="1:11" x14ac:dyDescent="0.25">
      <c r="A65" s="83" t="s">
        <v>105</v>
      </c>
      <c r="B65" s="83"/>
      <c r="C65" s="85"/>
      <c r="D65" s="26"/>
      <c r="E65" s="26"/>
      <c r="F65" s="109"/>
      <c r="G65" s="110"/>
      <c r="H65" s="12" t="str">
        <f>IF(F64 = "Purchased", IF(ISBLANK(F65), IncompleteText, OKText), "")</f>
        <v/>
      </c>
      <c r="I65" s="116"/>
      <c r="J65" s="116"/>
    </row>
    <row r="66" spans="1:11" x14ac:dyDescent="0.25">
      <c r="A66" s="83" t="s">
        <v>141</v>
      </c>
      <c r="B66" s="83"/>
      <c r="C66" s="85"/>
      <c r="D66" s="35"/>
      <c r="E66" s="35"/>
      <c r="F66" s="4" t="e">
        <f ca="1">VLOOKUP(F65, FusesTable, 6, FALSE)</f>
        <v>#N/A</v>
      </c>
      <c r="G66" t="s">
        <v>14</v>
      </c>
      <c r="H66"/>
      <c r="I66" s="116"/>
      <c r="J66" s="116"/>
    </row>
    <row r="67" spans="1:11" x14ac:dyDescent="0.25">
      <c r="A67" s="83" t="s">
        <v>141</v>
      </c>
      <c r="B67" s="83"/>
      <c r="C67" s="85"/>
      <c r="D67" s="35"/>
      <c r="E67" s="35"/>
      <c r="F67" s="3"/>
      <c r="G67" t="s">
        <v>14</v>
      </c>
      <c r="H67"/>
      <c r="I67" s="116"/>
      <c r="J67" s="116"/>
    </row>
    <row r="68" spans="1:11" x14ac:dyDescent="0.25">
      <c r="A68" s="83" t="s">
        <v>380</v>
      </c>
      <c r="B68" s="83"/>
      <c r="C68" s="83"/>
      <c r="D68" s="83"/>
      <c r="E68" s="83"/>
      <c r="F68" s="83"/>
      <c r="G68" s="83"/>
      <c r="H68" s="12" t="str">
        <f>IF(
    ISBLANK(F64),
    "",
    IF(
        (IF(F64="Team Designed", F67, F66)) * B12 / 3 &gt;= MainFuseA,
        OKText,
        ErrorText
    )
)</f>
        <v/>
      </c>
      <c r="I68" s="116"/>
      <c r="J68" s="116"/>
    </row>
    <row r="69" spans="1:11" x14ac:dyDescent="0.25">
      <c r="A69" s="83" t="s">
        <v>359</v>
      </c>
      <c r="B69" s="83"/>
      <c r="C69" s="83"/>
      <c r="D69" s="83"/>
      <c r="E69" s="83"/>
      <c r="F69" s="83"/>
      <c r="G69" s="83"/>
      <c r="H69" s="12" t="str">
        <f>IF(
    ISBLANK(F64),
    "",
    IF(
        (IF(F64="Team Designed", F67, F66)) &lt;= MAX(BattCellMaxI,2*BattCellMaxContI),
        OKText,
        ErrorText
    )
)</f>
        <v/>
      </c>
      <c r="I69" s="116"/>
      <c r="J69" s="116"/>
    </row>
    <row r="71" spans="1:11" x14ac:dyDescent="0.25">
      <c r="A71" s="46" t="s">
        <v>142</v>
      </c>
      <c r="B71" s="46"/>
      <c r="C71" s="46"/>
      <c r="D71" s="46"/>
      <c r="E71" s="46"/>
      <c r="F71" s="46"/>
      <c r="G71" s="46"/>
    </row>
    <row r="72" spans="1:11" x14ac:dyDescent="0.25">
      <c r="A72" s="83" t="s">
        <v>143</v>
      </c>
      <c r="B72" s="83"/>
      <c r="C72" s="85"/>
      <c r="D72" s="35"/>
      <c r="E72" s="35"/>
      <c r="F72" s="1">
        <f>COUNTIFS(C79:C94, "&lt;300", C79:C94, "&gt;30")</f>
        <v>0</v>
      </c>
      <c r="G72"/>
      <c r="H72" s="12" t="str">
        <f>IF(F$64 = "Team Designed",IF(F72&gt;=4, OKText, ErrorText), "")</f>
        <v/>
      </c>
      <c r="K72" s="2" t="e">
        <f>IF(F67&gt;0,F67,NA())</f>
        <v>#N/A</v>
      </c>
    </row>
    <row r="73" spans="1:11" x14ac:dyDescent="0.25">
      <c r="A73" s="83" t="s">
        <v>144</v>
      </c>
      <c r="B73" s="83"/>
      <c r="C73" s="85"/>
      <c r="D73" s="35"/>
      <c r="E73" s="35"/>
      <c r="F73" s="1">
        <f>COUNTIFS(C79:C94, "&lt;15", C79:C94, "&gt;5")</f>
        <v>0</v>
      </c>
      <c r="G73"/>
      <c r="H73" s="12" t="str">
        <f>IF(F$64 = "Team Designed",IF(F73&gt;=4, OKText, ErrorText), "")</f>
        <v/>
      </c>
      <c r="J73" s="2" t="e">
        <f>IFERROR(10^ROUNDDOWN(LOG10(MIN(C79:C94)), 0),NA())</f>
        <v>#N/A</v>
      </c>
      <c r="K73" s="2" t="e">
        <f>IF(F67&gt;0,F67,NA())</f>
        <v>#N/A</v>
      </c>
    </row>
    <row r="74" spans="1:11" x14ac:dyDescent="0.25">
      <c r="A74" s="83" t="s">
        <v>145</v>
      </c>
      <c r="B74" s="83"/>
      <c r="C74" s="85"/>
      <c r="D74" s="35"/>
      <c r="E74" s="35"/>
      <c r="F74" s="1">
        <f>COUNTIFS(C79:C94, "&lt;1", C79:C94, "&gt;0.2")</f>
        <v>0</v>
      </c>
      <c r="G74"/>
      <c r="H74" s="12" t="str">
        <f>IF(F$64 = "Team Designed",IF(F74&gt;=4, OKText, ErrorText), "")</f>
        <v/>
      </c>
      <c r="J74" s="2" t="e">
        <f>IFERROR(10^ROUNDUP(LOG10(MAX(C79:C94)), 0),NA())</f>
        <v>#N/A</v>
      </c>
    </row>
    <row r="75" spans="1:11" x14ac:dyDescent="0.25">
      <c r="A75" s="83" t="s">
        <v>146</v>
      </c>
      <c r="B75" s="83"/>
      <c r="C75" s="85"/>
      <c r="D75" s="35"/>
      <c r="E75" s="35"/>
      <c r="F75" s="1">
        <f>COUNTIFS(C79:C94, "&lt;0.15", C79:C94, "&gt;0.05")</f>
        <v>0</v>
      </c>
      <c r="G75"/>
      <c r="H75" s="12" t="str">
        <f>IF(F$64 = "Team Designed",IF(F75&gt;=4, OKText, ErrorText), "")</f>
        <v/>
      </c>
    </row>
    <row r="76" spans="1:11" x14ac:dyDescent="0.25">
      <c r="A76" s="2" t="s">
        <v>147</v>
      </c>
    </row>
    <row r="78" spans="1:11" ht="27" x14ac:dyDescent="0.25">
      <c r="A78" t="s">
        <v>148</v>
      </c>
      <c r="B78" s="17" t="s">
        <v>149</v>
      </c>
      <c r="C78" s="17" t="s">
        <v>150</v>
      </c>
      <c r="D78" s="17" t="s">
        <v>309</v>
      </c>
      <c r="E78" s="17" t="s">
        <v>310</v>
      </c>
    </row>
    <row r="79" spans="1:11" x14ac:dyDescent="0.25">
      <c r="A79" t="s">
        <v>151</v>
      </c>
      <c r="B79" s="3"/>
      <c r="C79" s="3"/>
      <c r="D79" s="4" t="e">
        <f>IF(B79&gt;0,B79,NA())</f>
        <v>#N/A</v>
      </c>
      <c r="E79" s="4" t="e">
        <f>IF(C79&gt;0,C79,NA())</f>
        <v>#N/A</v>
      </c>
    </row>
    <row r="80" spans="1:11" x14ac:dyDescent="0.25">
      <c r="A80" t="s">
        <v>152</v>
      </c>
      <c r="B80" s="3"/>
      <c r="C80" s="3"/>
      <c r="D80" s="4" t="e">
        <f t="shared" ref="D80:D94" si="3">IF(B80&gt;0,B80,NA())</f>
        <v>#N/A</v>
      </c>
      <c r="E80" s="4" t="e">
        <f t="shared" ref="E80:E94" si="4">IF(C80&gt;0,C80,NA())</f>
        <v>#N/A</v>
      </c>
    </row>
    <row r="81" spans="1:5" x14ac:dyDescent="0.25">
      <c r="A81" t="s">
        <v>153</v>
      </c>
      <c r="B81" s="3"/>
      <c r="C81" s="3"/>
      <c r="D81" s="4" t="e">
        <f t="shared" si="3"/>
        <v>#N/A</v>
      </c>
      <c r="E81" s="4" t="e">
        <f t="shared" si="4"/>
        <v>#N/A</v>
      </c>
    </row>
    <row r="82" spans="1:5" x14ac:dyDescent="0.25">
      <c r="A82" t="s">
        <v>154</v>
      </c>
      <c r="B82" s="3"/>
      <c r="C82" s="3"/>
      <c r="D82" s="4" t="e">
        <f t="shared" si="3"/>
        <v>#N/A</v>
      </c>
      <c r="E82" s="4" t="e">
        <f t="shared" si="4"/>
        <v>#N/A</v>
      </c>
    </row>
    <row r="83" spans="1:5" x14ac:dyDescent="0.25">
      <c r="A83" t="s">
        <v>155</v>
      </c>
      <c r="B83" s="3"/>
      <c r="C83" s="3"/>
      <c r="D83" s="4" t="e">
        <f t="shared" si="3"/>
        <v>#N/A</v>
      </c>
      <c r="E83" s="4" t="e">
        <f t="shared" si="4"/>
        <v>#N/A</v>
      </c>
    </row>
    <row r="84" spans="1:5" x14ac:dyDescent="0.25">
      <c r="A84" t="s">
        <v>156</v>
      </c>
      <c r="B84" s="3"/>
      <c r="C84" s="3"/>
      <c r="D84" s="4" t="e">
        <f t="shared" si="3"/>
        <v>#N/A</v>
      </c>
      <c r="E84" s="4" t="e">
        <f t="shared" si="4"/>
        <v>#N/A</v>
      </c>
    </row>
    <row r="85" spans="1:5" x14ac:dyDescent="0.25">
      <c r="A85" t="s">
        <v>157</v>
      </c>
      <c r="B85" s="3"/>
      <c r="C85" s="3"/>
      <c r="D85" s="4" t="e">
        <f t="shared" si="3"/>
        <v>#N/A</v>
      </c>
      <c r="E85" s="4" t="e">
        <f t="shared" si="4"/>
        <v>#N/A</v>
      </c>
    </row>
    <row r="86" spans="1:5" x14ac:dyDescent="0.25">
      <c r="A86" t="s">
        <v>158</v>
      </c>
      <c r="B86" s="3"/>
      <c r="C86" s="3"/>
      <c r="D86" s="4" t="e">
        <f t="shared" si="3"/>
        <v>#N/A</v>
      </c>
      <c r="E86" s="4" t="e">
        <f t="shared" si="4"/>
        <v>#N/A</v>
      </c>
    </row>
    <row r="87" spans="1:5" x14ac:dyDescent="0.25">
      <c r="A87" t="s">
        <v>159</v>
      </c>
      <c r="B87" s="3"/>
      <c r="C87" s="3"/>
      <c r="D87" s="4" t="e">
        <f t="shared" si="3"/>
        <v>#N/A</v>
      </c>
      <c r="E87" s="4" t="e">
        <f t="shared" si="4"/>
        <v>#N/A</v>
      </c>
    </row>
    <row r="88" spans="1:5" x14ac:dyDescent="0.25">
      <c r="A88" t="s">
        <v>160</v>
      </c>
      <c r="B88" s="3"/>
      <c r="C88" s="3"/>
      <c r="D88" s="4" t="e">
        <f t="shared" si="3"/>
        <v>#N/A</v>
      </c>
      <c r="E88" s="4" t="e">
        <f t="shared" si="4"/>
        <v>#N/A</v>
      </c>
    </row>
    <row r="89" spans="1:5" x14ac:dyDescent="0.25">
      <c r="A89" t="s">
        <v>161</v>
      </c>
      <c r="B89" s="3"/>
      <c r="C89" s="3"/>
      <c r="D89" s="4" t="e">
        <f t="shared" si="3"/>
        <v>#N/A</v>
      </c>
      <c r="E89" s="4" t="e">
        <f t="shared" si="4"/>
        <v>#N/A</v>
      </c>
    </row>
    <row r="90" spans="1:5" x14ac:dyDescent="0.25">
      <c r="A90" t="s">
        <v>162</v>
      </c>
      <c r="B90" s="3"/>
      <c r="C90" s="3"/>
      <c r="D90" s="4" t="e">
        <f t="shared" si="3"/>
        <v>#N/A</v>
      </c>
      <c r="E90" s="4" t="e">
        <f t="shared" si="4"/>
        <v>#N/A</v>
      </c>
    </row>
    <row r="91" spans="1:5" x14ac:dyDescent="0.25">
      <c r="A91" t="s">
        <v>163</v>
      </c>
      <c r="B91" s="3"/>
      <c r="C91" s="3"/>
      <c r="D91" s="4" t="e">
        <f t="shared" si="3"/>
        <v>#N/A</v>
      </c>
      <c r="E91" s="4" t="e">
        <f t="shared" si="4"/>
        <v>#N/A</v>
      </c>
    </row>
    <row r="92" spans="1:5" x14ac:dyDescent="0.25">
      <c r="A92" t="s">
        <v>164</v>
      </c>
      <c r="B92" s="3"/>
      <c r="C92" s="3"/>
      <c r="D92" s="4" t="e">
        <f t="shared" si="3"/>
        <v>#N/A</v>
      </c>
      <c r="E92" s="4" t="e">
        <f t="shared" si="4"/>
        <v>#N/A</v>
      </c>
    </row>
    <row r="93" spans="1:5" x14ac:dyDescent="0.25">
      <c r="A93" t="s">
        <v>165</v>
      </c>
      <c r="B93" s="3"/>
      <c r="C93" s="3"/>
      <c r="D93" s="4" t="e">
        <f t="shared" si="3"/>
        <v>#N/A</v>
      </c>
      <c r="E93" s="4" t="e">
        <f t="shared" si="4"/>
        <v>#N/A</v>
      </c>
    </row>
    <row r="94" spans="1:5" x14ac:dyDescent="0.25">
      <c r="A94" t="s">
        <v>166</v>
      </c>
      <c r="B94" s="3"/>
      <c r="C94" s="3"/>
      <c r="D94" s="4" t="e">
        <f t="shared" si="3"/>
        <v>#N/A</v>
      </c>
      <c r="E94" s="4" t="e">
        <f t="shared" si="4"/>
        <v>#N/A</v>
      </c>
    </row>
  </sheetData>
  <sheetProtection algorithmName="SHA-512" hashValue="BY/dcq/aI102oT5iX6tqSYOfjDeg++aKnLeExumO5hgeaTYR+CbWeWqAeuS0G3b3kwt6sjFxXrAZBdq+22Joxw==" saltValue="AKZvTs5xysvXRzTW6Swh+Q==" spinCount="100000" sheet="1" scenarios="1" insertHyperlinks="0"/>
  <mergeCells count="188">
    <mergeCell ref="T20:V20"/>
    <mergeCell ref="T22:X22"/>
    <mergeCell ref="T23:V23"/>
    <mergeCell ref="W23:X23"/>
    <mergeCell ref="T24:V24"/>
    <mergeCell ref="AD16:AE16"/>
    <mergeCell ref="Q15:R15"/>
    <mergeCell ref="M16:R16"/>
    <mergeCell ref="T14:V14"/>
    <mergeCell ref="T15:V15"/>
    <mergeCell ref="T16:V16"/>
    <mergeCell ref="Q14:R14"/>
    <mergeCell ref="Q18:R18"/>
    <mergeCell ref="Q19:R19"/>
    <mergeCell ref="AD17:AE17"/>
    <mergeCell ref="T17:V17"/>
    <mergeCell ref="W19:X19"/>
    <mergeCell ref="T19:V19"/>
    <mergeCell ref="Z14:AC14"/>
    <mergeCell ref="Z15:AC15"/>
    <mergeCell ref="Z17:AC17"/>
    <mergeCell ref="Z18:AC18"/>
    <mergeCell ref="Z19:AC19"/>
    <mergeCell ref="Z16:AC16"/>
    <mergeCell ref="AD20:AE20"/>
    <mergeCell ref="A56:H56"/>
    <mergeCell ref="Q20:R20"/>
    <mergeCell ref="J23:K23"/>
    <mergeCell ref="H24:I24"/>
    <mergeCell ref="J24:K24"/>
    <mergeCell ref="H23:I23"/>
    <mergeCell ref="M31:P31"/>
    <mergeCell ref="M22:P22"/>
    <mergeCell ref="H26:I26"/>
    <mergeCell ref="H22:I22"/>
    <mergeCell ref="J22:K22"/>
    <mergeCell ref="J26:K26"/>
    <mergeCell ref="Q28:R28"/>
    <mergeCell ref="T25:X25"/>
    <mergeCell ref="T26:V26"/>
    <mergeCell ref="L55:Q55"/>
    <mergeCell ref="M32:P32"/>
    <mergeCell ref="Q29:R29"/>
    <mergeCell ref="Q25:R25"/>
    <mergeCell ref="M24:R24"/>
    <mergeCell ref="W26:X26"/>
    <mergeCell ref="T27:V27"/>
    <mergeCell ref="T28:V28"/>
    <mergeCell ref="BC56:BC59"/>
    <mergeCell ref="AV55:BB55"/>
    <mergeCell ref="AV56:BB59"/>
    <mergeCell ref="AV34:BC52"/>
    <mergeCell ref="AV53:BB53"/>
    <mergeCell ref="AV54:BA54"/>
    <mergeCell ref="U54:Z54"/>
    <mergeCell ref="M30:P30"/>
    <mergeCell ref="U34:AB52"/>
    <mergeCell ref="L53:R53"/>
    <mergeCell ref="L54:Q54"/>
    <mergeCell ref="L56:Q56"/>
    <mergeCell ref="L34:S52"/>
    <mergeCell ref="U53:AA53"/>
    <mergeCell ref="AT56:AT59"/>
    <mergeCell ref="AM34:AT52"/>
    <mergeCell ref="AM53:AS53"/>
    <mergeCell ref="AM54:AR54"/>
    <mergeCell ref="AM55:AS55"/>
    <mergeCell ref="AM56:AS59"/>
    <mergeCell ref="AK56:AK59"/>
    <mergeCell ref="AB57:AB60"/>
    <mergeCell ref="U55:Z55"/>
    <mergeCell ref="AD53:AJ53"/>
    <mergeCell ref="AG8:AM8"/>
    <mergeCell ref="AG9:AM29"/>
    <mergeCell ref="A58:I58"/>
    <mergeCell ref="L57:R57"/>
    <mergeCell ref="L58:R61"/>
    <mergeCell ref="U56:AA56"/>
    <mergeCell ref="U57:AA60"/>
    <mergeCell ref="AD55:AJ55"/>
    <mergeCell ref="AD56:AJ59"/>
    <mergeCell ref="A34:J52"/>
    <mergeCell ref="M9:P9"/>
    <mergeCell ref="M10:P10"/>
    <mergeCell ref="M12:P12"/>
    <mergeCell ref="M13:P13"/>
    <mergeCell ref="M14:P14"/>
    <mergeCell ref="M15:P15"/>
    <mergeCell ref="S58:S61"/>
    <mergeCell ref="AD34:AK52"/>
    <mergeCell ref="Z8:AE8"/>
    <mergeCell ref="T10:V10"/>
    <mergeCell ref="Z20:AC20"/>
    <mergeCell ref="M29:P29"/>
    <mergeCell ref="AD54:AI54"/>
    <mergeCell ref="Z9:AC9"/>
    <mergeCell ref="Z10:AC10"/>
    <mergeCell ref="Z13:AC13"/>
    <mergeCell ref="T8:X8"/>
    <mergeCell ref="Z11:AC11"/>
    <mergeCell ref="AD9:AE9"/>
    <mergeCell ref="AD13:AE13"/>
    <mergeCell ref="Z12:AC12"/>
    <mergeCell ref="AD12:AE12"/>
    <mergeCell ref="M8:R8"/>
    <mergeCell ref="W9:X9"/>
    <mergeCell ref="T13:X13"/>
    <mergeCell ref="T9:V9"/>
    <mergeCell ref="A10:A11"/>
    <mergeCell ref="B10:B11"/>
    <mergeCell ref="Q9:R9"/>
    <mergeCell ref="J10:K11"/>
    <mergeCell ref="H10:I11"/>
    <mergeCell ref="C10:C11"/>
    <mergeCell ref="F10:F11"/>
    <mergeCell ref="J12:K12"/>
    <mergeCell ref="J13:K13"/>
    <mergeCell ref="J28:K28"/>
    <mergeCell ref="M25:P25"/>
    <mergeCell ref="M26:P26"/>
    <mergeCell ref="M27:P27"/>
    <mergeCell ref="M28:P28"/>
    <mergeCell ref="H25:I25"/>
    <mergeCell ref="J25:K25"/>
    <mergeCell ref="H18:I18"/>
    <mergeCell ref="J59:J61"/>
    <mergeCell ref="A59:I61"/>
    <mergeCell ref="H19:I19"/>
    <mergeCell ref="J19:K19"/>
    <mergeCell ref="J27:K27"/>
    <mergeCell ref="M17:P17"/>
    <mergeCell ref="M18:P18"/>
    <mergeCell ref="M19:P19"/>
    <mergeCell ref="M20:P20"/>
    <mergeCell ref="H21:I21"/>
    <mergeCell ref="J18:K18"/>
    <mergeCell ref="J20:K20"/>
    <mergeCell ref="J17:K17"/>
    <mergeCell ref="J21:K21"/>
    <mergeCell ref="M21:P21"/>
    <mergeCell ref="A57:H57"/>
    <mergeCell ref="A73:C73"/>
    <mergeCell ref="A74:C74"/>
    <mergeCell ref="A75:C75"/>
    <mergeCell ref="H20:I20"/>
    <mergeCell ref="A71:G71"/>
    <mergeCell ref="F65:G65"/>
    <mergeCell ref="F64:G64"/>
    <mergeCell ref="A64:C64"/>
    <mergeCell ref="A65:C65"/>
    <mergeCell ref="A66:C66"/>
    <mergeCell ref="A67:C67"/>
    <mergeCell ref="H27:I27"/>
    <mergeCell ref="H28:I28"/>
    <mergeCell ref="A63:G63"/>
    <mergeCell ref="A54:H54"/>
    <mergeCell ref="A55:H55"/>
    <mergeCell ref="A53:I53"/>
    <mergeCell ref="I63:J63"/>
    <mergeCell ref="H29:I29"/>
    <mergeCell ref="J29:K29"/>
    <mergeCell ref="I64:J69"/>
    <mergeCell ref="A68:G68"/>
    <mergeCell ref="A69:G69"/>
    <mergeCell ref="M23:P23"/>
    <mergeCell ref="A72:C72"/>
    <mergeCell ref="A4:F4"/>
    <mergeCell ref="A5:F5"/>
    <mergeCell ref="A6:F6"/>
    <mergeCell ref="F9:G9"/>
    <mergeCell ref="A9:C9"/>
    <mergeCell ref="T18:X18"/>
    <mergeCell ref="T21:V21"/>
    <mergeCell ref="H14:I14"/>
    <mergeCell ref="H15:I15"/>
    <mergeCell ref="H16:I16"/>
    <mergeCell ref="H17:I17"/>
    <mergeCell ref="J14:K14"/>
    <mergeCell ref="J15:K15"/>
    <mergeCell ref="H12:I12"/>
    <mergeCell ref="H13:I13"/>
    <mergeCell ref="A8:K8"/>
    <mergeCell ref="G10:G11"/>
    <mergeCell ref="W14:X14"/>
    <mergeCell ref="N11:O11"/>
    <mergeCell ref="Q10:R10"/>
    <mergeCell ref="Q11:R11"/>
    <mergeCell ref="J16:K16"/>
  </mergeCells>
  <conditionalFormatting sqref="A64:H69 B79:C94">
    <cfRule type="expression" dxfId="13" priority="18">
      <formula>$B$12 = 1</formula>
    </cfRule>
  </conditionalFormatting>
  <conditionalFormatting sqref="A65:H66">
    <cfRule type="expression" dxfId="12" priority="21">
      <formula>$F$64 = "Team Designed"</formula>
    </cfRule>
  </conditionalFormatting>
  <conditionalFormatting sqref="A67:H67 B78:C94">
    <cfRule type="expression" dxfId="11" priority="20">
      <formula>$F$64 = "Purchased"</formula>
    </cfRule>
  </conditionalFormatting>
  <conditionalFormatting sqref="H67">
    <cfRule type="expression" dxfId="10" priority="3">
      <formula>$F$64 = "Team Designed"</formula>
    </cfRule>
  </conditionalFormatting>
  <conditionalFormatting sqref="L55:S55">
    <cfRule type="expression" dxfId="9" priority="7">
      <formula>$B$12 = 1</formula>
    </cfRule>
  </conditionalFormatting>
  <conditionalFormatting sqref="M14:M15 Q14:Q15">
    <cfRule type="expression" dxfId="8" priority="23">
      <formula>$Q$10="Purchased"</formula>
    </cfRule>
  </conditionalFormatting>
  <conditionalFormatting sqref="M20 Q20:R20">
    <cfRule type="expression" dxfId="7" priority="22">
      <formula>$Q$19&lt;&gt;"Other"</formula>
    </cfRule>
  </conditionalFormatting>
  <conditionalFormatting sqref="M11:N11 P11:Q11">
    <cfRule type="expression" dxfId="6" priority="24">
      <formula>$Q$10="Team Built"</formula>
    </cfRule>
  </conditionalFormatting>
  <conditionalFormatting sqref="M26:S26">
    <cfRule type="expression" dxfId="5" priority="1">
      <formula>$Q$24="On cell terminal"</formula>
    </cfRule>
  </conditionalFormatting>
  <dataValidations count="11">
    <dataValidation type="list" allowBlank="1" showInputMessage="1" showErrorMessage="1" sqref="Q19" xr:uid="{00000000-0002-0000-0300-000001000000}">
      <formula1>"BMS PCB, Conductor, Other"</formula1>
    </dataValidation>
    <dataValidation type="list" allowBlank="1" showInputMessage="1" showErrorMessage="1" sqref="Q10" xr:uid="{00000000-0002-0000-0300-000002000000}">
      <formula1>"Purchased, Team Built"</formula1>
    </dataValidation>
    <dataValidation type="list" allowBlank="1" showInputMessage="1" showErrorMessage="1" sqref="W9:X9 W23:X23 W26:X26" xr:uid="{00000000-0002-0000-0300-000003000000}">
      <formula1>ConnectorNames</formula1>
    </dataValidation>
    <dataValidation type="list" allowBlank="1" showInputMessage="1" showErrorMessage="1" sqref="W14" xr:uid="{00000000-0002-0000-0300-000004000000}">
      <formula1>ContactorNames</formula1>
    </dataValidation>
    <dataValidation type="list" allowBlank="1" showInputMessage="1" showErrorMessage="1" sqref="Q18:R18 F65 W19 W11" xr:uid="{00000000-0002-0000-0300-000005000000}">
      <formula1>FuseNames</formula1>
    </dataValidation>
    <dataValidation type="list" allowBlank="1" showInputMessage="1" showErrorMessage="1" sqref="AD9:AE9 AD13:AE13 AD17" xr:uid="{00000000-0002-0000-0300-000006000000}">
      <formula1>InsulationNames</formula1>
    </dataValidation>
    <dataValidation type="list" allowBlank="1" showInputMessage="1" showErrorMessage="1" sqref="F64" xr:uid="{EC03A901-3090-449C-8CF9-077968499065}">
      <formula1>"Purchased,Team Designed"</formula1>
    </dataValidation>
    <dataValidation type="list" allowBlank="1" showInputMessage="1" showErrorMessage="1" sqref="AA54:AA55 AJ54 BB54 AS54 I54:I57 R54:R56" xr:uid="{00000000-0002-0000-0300-00000A000000}">
      <formula1>"TRUE,FALSE"</formula1>
    </dataValidation>
    <dataValidation type="list" allowBlank="1" showInputMessage="1" showErrorMessage="1" sqref="Q24:Q25" xr:uid="{CC8F1BB1-EC99-4C40-A91B-202CBCED10EC}">
      <formula1>"On cell terminal,On bus bar"</formula1>
    </dataValidation>
    <dataValidation allowBlank="1" showInputMessage="1" showErrorMessage="1" promptTitle="Tractive Battery Number" prompt="Enter the container number that holds this module._x000a_-If you have only one Tractive Battery container, enter 1._x000a_-If you have multiple containers, enter the correct container number (e.g., 1, 2, 3…) corresponding to where the module is placed." sqref="G12" xr:uid="{567884D8-314A-4940-8249-913FF4A05587}"/>
    <dataValidation type="list" allowBlank="1" showInputMessage="1" showErrorMessage="1" sqref="F9:G9" xr:uid="{E2367CA4-4245-4D6C-ABB7-546DE4BD4EA6}">
      <formula1>"Parallel then Series, Series then Parallel (uncommon)"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  <ignoredErrors>
    <ignoredError sqref="W10" evalError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41"/>
  <sheetViews>
    <sheetView zoomScaleNormal="100" workbookViewId="0"/>
  </sheetViews>
  <sheetFormatPr defaultColWidth="8.7109375" defaultRowHeight="13.5" x14ac:dyDescent="0.25"/>
  <cols>
    <col min="1" max="3" width="8.7109375" style="2" customWidth="1"/>
    <col min="4" max="4" width="8.92578125" style="2" bestFit="1" customWidth="1"/>
    <col min="5" max="16384" width="8.7109375" style="2"/>
  </cols>
  <sheetData>
    <row r="1" spans="1:20" x14ac:dyDescent="0.25">
      <c r="A1" s="26" t="s">
        <v>1</v>
      </c>
      <c r="B1" s="12" t="str" cm="1">
        <f t="array" aca="1" ref="B1" ca="1">IF(SUM(COUNTIF(INDIRECT({"PrechargeDischarge!$F$2","PrechargeDischarge!$L$2","PrechargeDischarge!$R$2","PrechargeDischarge!$R$10"}), "="&amp;IncompleteText)), IncompleteText, IF(SUM(COUNTIF(INDIRECT({"PrechargeDischarge!$F$2","PrechargeDischarge!$L$2","PrechargeDischarge!$R$2","PrechargeDischarge!$R$10"}), "="&amp;ErrorText)), ErrorText, OKText))</f>
        <v>BLANK</v>
      </c>
    </row>
    <row r="2" spans="1:20" x14ac:dyDescent="0.25">
      <c r="A2" s="46" t="s">
        <v>83</v>
      </c>
      <c r="B2" s="46"/>
      <c r="C2" s="46"/>
      <c r="D2" s="46"/>
      <c r="E2" s="46"/>
      <c r="F2" s="12" t="str">
        <f ca="1">IF(COUNTIF(F3:F23, "="&amp;IncompleteText), IncompleteText, IF(COUNTIF(F3:F23, "="&amp;ErrorText), ErrorText, OKText))</f>
        <v>BLANK</v>
      </c>
      <c r="G2" s="46" t="s">
        <v>84</v>
      </c>
      <c r="H2" s="46"/>
      <c r="I2" s="46"/>
      <c r="J2" s="46"/>
      <c r="K2" s="46"/>
      <c r="L2" s="12" t="str">
        <f ca="1">IF(COUNTIF(L3:L17, "="&amp;IncompleteText), IncompleteText, IF(COUNTIF(L3:L17, "="&amp;ErrorText), ErrorText, OKText))</f>
        <v>BLANK</v>
      </c>
      <c r="M2" s="46" t="s">
        <v>320</v>
      </c>
      <c r="N2" s="46"/>
      <c r="O2" s="46"/>
      <c r="P2" s="46"/>
      <c r="Q2" s="46"/>
      <c r="R2" s="12" t="str">
        <f ca="1">IF(COUNTIF(R3:R8, "="&amp;IncompleteText), IncompleteText, IF(COUNTIF(R3:R8, "="&amp;ErrorText), ErrorText, OKText))</f>
        <v>BLANK</v>
      </c>
      <c r="S2" s="104" t="s">
        <v>45</v>
      </c>
      <c r="T2" s="153"/>
    </row>
    <row r="3" spans="1:20" x14ac:dyDescent="0.25">
      <c r="A3" s="83" t="s">
        <v>167</v>
      </c>
      <c r="B3" s="83"/>
      <c r="C3" s="85"/>
      <c r="D3" s="109"/>
      <c r="E3" s="110"/>
      <c r="F3" s="12" t="str">
        <f>IF(ISBLANK(D3), IncompleteText, OKText)</f>
        <v>BLANK</v>
      </c>
      <c r="G3" s="83" t="s">
        <v>167</v>
      </c>
      <c r="H3" s="83"/>
      <c r="I3" s="85"/>
      <c r="J3" s="109"/>
      <c r="K3" s="110"/>
      <c r="L3" s="12" t="str">
        <f>IF(ISBLANK(J3), IncompleteText, OKText)</f>
        <v>BLANK</v>
      </c>
      <c r="M3" s="83" t="s">
        <v>167</v>
      </c>
      <c r="N3" s="83"/>
      <c r="O3" s="85"/>
      <c r="P3" s="109"/>
      <c r="Q3" s="110"/>
      <c r="R3" s="12" t="str">
        <f>IF(ISBLANK(P3), IncompleteText, OKText)</f>
        <v>BLANK</v>
      </c>
      <c r="S3" s="154" t="s">
        <v>273</v>
      </c>
      <c r="T3" s="154"/>
    </row>
    <row r="4" spans="1:20" x14ac:dyDescent="0.25">
      <c r="A4" s="83" t="s">
        <v>168</v>
      </c>
      <c r="B4" s="83"/>
      <c r="C4" s="85"/>
      <c r="D4" s="3"/>
      <c r="E4"/>
      <c r="F4" s="12" t="str">
        <f>IF(ISBLANK(D4), IncompleteText, OKText)</f>
        <v>BLANK</v>
      </c>
      <c r="G4" s="83" t="s">
        <v>168</v>
      </c>
      <c r="H4" s="83"/>
      <c r="I4" s="85"/>
      <c r="J4" s="3"/>
      <c r="K4"/>
      <c r="L4" s="12" t="str">
        <f>IF(ISBLANK(J4), IncompleteText, OKText)</f>
        <v>BLANK</v>
      </c>
      <c r="M4" s="83" t="s">
        <v>168</v>
      </c>
      <c r="N4" s="83"/>
      <c r="O4" s="85"/>
      <c r="P4" s="86"/>
      <c r="Q4" s="86"/>
      <c r="R4" s="12" t="str">
        <f>IF(ISBLANK(P4), IncompleteText, OKText)</f>
        <v>BLANK</v>
      </c>
      <c r="S4" s="155"/>
      <c r="T4" s="155"/>
    </row>
    <row r="5" spans="1:20" x14ac:dyDescent="0.25">
      <c r="A5" s="83" t="s">
        <v>169</v>
      </c>
      <c r="B5" s="83"/>
      <c r="C5" s="85"/>
      <c r="D5" s="3"/>
      <c r="E5"/>
      <c r="F5" s="12" t="str">
        <f>IF(ISBLANK(D5), IncompleteText, OKText)</f>
        <v>BLANK</v>
      </c>
      <c r="G5" s="83" t="s">
        <v>169</v>
      </c>
      <c r="H5" s="83"/>
      <c r="I5" s="85"/>
      <c r="J5" s="3"/>
      <c r="K5"/>
      <c r="L5" s="12" t="str">
        <f>IF(ISBLANK(J5), IncompleteText, OKText)</f>
        <v>BLANK</v>
      </c>
      <c r="M5" s="83" t="s">
        <v>169</v>
      </c>
      <c r="N5" s="83"/>
      <c r="O5" s="85"/>
      <c r="P5" s="86"/>
      <c r="Q5" s="86"/>
      <c r="R5" s="12" t="str">
        <f>IF(ISBLANK(P5), IncompleteText, OKText)</f>
        <v>BLANK</v>
      </c>
      <c r="S5" s="155"/>
      <c r="T5" s="155"/>
    </row>
    <row r="6" spans="1:20" x14ac:dyDescent="0.25">
      <c r="A6" s="83" t="s">
        <v>170</v>
      </c>
      <c r="B6" s="83"/>
      <c r="C6" s="85"/>
      <c r="D6" s="1" t="e">
        <f ca="1">VLOOKUP(D3, ResistorsTable, 5, )*D5/D4</f>
        <v>#N/A</v>
      </c>
      <c r="E6" t="s">
        <v>171</v>
      </c>
      <c r="G6" s="83" t="s">
        <v>170</v>
      </c>
      <c r="H6" s="83"/>
      <c r="I6" s="85"/>
      <c r="J6" s="1" t="e">
        <f ca="1">VLOOKUP(J3, ResistorsTable, 5, )*J5/J4</f>
        <v>#N/A</v>
      </c>
      <c r="K6" t="s">
        <v>171</v>
      </c>
      <c r="M6" s="83" t="s">
        <v>170</v>
      </c>
      <c r="N6" s="83"/>
      <c r="O6" s="85"/>
      <c r="P6" s="1" t="e">
        <f ca="1">VLOOKUP(P3, ResistorsTable, 5, )*P5/P4</f>
        <v>#N/A</v>
      </c>
      <c r="Q6" t="s">
        <v>171</v>
      </c>
      <c r="R6" s="12" t="e">
        <f ca="1">IF(MaxTSVoltage&lt;=200,IF(P6=5000, OKText, ErrorText),IF(MaxTSVoltage &gt; 400, IF(P6=15000, OKText, ErrorText), IF(P6=10000, OKText, ErrorText)))</f>
        <v>#N/A</v>
      </c>
      <c r="S6" s="155"/>
      <c r="T6" s="155"/>
    </row>
    <row r="7" spans="1:20" x14ac:dyDescent="0.25">
      <c r="A7" s="83" t="s">
        <v>172</v>
      </c>
      <c r="B7" s="83"/>
      <c r="C7" s="85"/>
      <c r="D7" s="1" t="e">
        <f ca="1">VLOOKUP(D3, ResistorsTable, 6, FALSE)*D4*D5</f>
        <v>#N/A</v>
      </c>
      <c r="E7" t="s">
        <v>173</v>
      </c>
      <c r="G7" s="83" t="s">
        <v>172</v>
      </c>
      <c r="H7" s="83"/>
      <c r="I7" s="85"/>
      <c r="J7" s="1" t="e">
        <f ca="1">VLOOKUP(J3, ResistorsTable, 6, FALSE)*J4*J5</f>
        <v>#N/A</v>
      </c>
      <c r="K7" t="s">
        <v>173</v>
      </c>
      <c r="M7" s="83" t="s">
        <v>172</v>
      </c>
      <c r="N7" s="83"/>
      <c r="O7" s="85"/>
      <c r="P7" s="1" t="e">
        <f ca="1">VLOOKUP(P3, ResistorsTable, 6, FALSE)*P5*P4</f>
        <v>#N/A</v>
      </c>
      <c r="Q7" t="s">
        <v>173</v>
      </c>
      <c r="R7" s="12" t="e">
        <f ca="1">IF(P7&lt;(MaxTSVoltage/2)^2/P6, ErrorText, OKText)</f>
        <v>#N/A</v>
      </c>
      <c r="S7" s="155"/>
      <c r="T7" s="155"/>
    </row>
    <row r="8" spans="1:20" x14ac:dyDescent="0.25">
      <c r="A8" s="83" t="s">
        <v>174</v>
      </c>
      <c r="B8" s="83"/>
      <c r="C8" s="85"/>
      <c r="D8" s="1" t="e">
        <f ca="1">VLOOKUP(D3, ResistorsTable, 7, FALSE)*D4*D5</f>
        <v>#N/A</v>
      </c>
      <c r="E8" t="s">
        <v>173</v>
      </c>
      <c r="G8" s="83" t="s">
        <v>174</v>
      </c>
      <c r="H8" s="83"/>
      <c r="I8" s="85"/>
      <c r="J8" s="1" t="e">
        <f ca="1">VLOOKUP(J3, ResistorsTable, 7, FALSE)*J4*J5</f>
        <v>#N/A</v>
      </c>
      <c r="K8" t="s">
        <v>173</v>
      </c>
      <c r="L8" s="12" t="e">
        <f ca="1">IF(J8&lt;MaxTSVoltage^2/DischargeRes, ErrorText, OKText)</f>
        <v>#N/A</v>
      </c>
      <c r="M8" s="83" t="s">
        <v>175</v>
      </c>
      <c r="N8" s="83"/>
      <c r="O8" s="85"/>
      <c r="P8" s="1" t="e">
        <f ca="1">VLOOKUP(P3, ResistorsTable, 4, FALSE)*P5</f>
        <v>#N/A</v>
      </c>
      <c r="Q8" t="s">
        <v>13</v>
      </c>
      <c r="R8" s="12" t="e">
        <f ca="1">IF(P8&lt;(MaxTSVoltage/2), ErrorText, OKText)</f>
        <v>#N/A</v>
      </c>
      <c r="S8" s="155"/>
      <c r="T8" s="155"/>
    </row>
    <row r="9" spans="1:20" x14ac:dyDescent="0.25">
      <c r="A9" s="83" t="s">
        <v>175</v>
      </c>
      <c r="B9" s="83"/>
      <c r="C9" s="85"/>
      <c r="D9" s="1" t="e">
        <f ca="1">VLOOKUP(D3, ResistorsTable, 4, FALSE)*D5</f>
        <v>#N/A</v>
      </c>
      <c r="E9" t="s">
        <v>13</v>
      </c>
      <c r="F9" s="12" t="e">
        <f ca="1">IF(D9&lt;MaxTSVoltage, ErrorText, OKText)</f>
        <v>#N/A</v>
      </c>
      <c r="G9" s="83" t="s">
        <v>175</v>
      </c>
      <c r="H9" s="83"/>
      <c r="I9" s="85"/>
      <c r="J9" s="1" t="e">
        <f ca="1">VLOOKUP(J3, ResistorsTable, 4, FALSE)*J5</f>
        <v>#N/A</v>
      </c>
      <c r="K9" t="s">
        <v>13</v>
      </c>
      <c r="L9" s="12" t="e">
        <f ca="1">IF(J9&lt;MaxTSVoltage, ErrorText, OKText)</f>
        <v>#N/A</v>
      </c>
    </row>
    <row r="10" spans="1:20" x14ac:dyDescent="0.25">
      <c r="A10" s="83" t="s">
        <v>176</v>
      </c>
      <c r="B10" s="83"/>
      <c r="C10" s="85"/>
      <c r="D10" s="25"/>
      <c r="E10" t="s">
        <v>177</v>
      </c>
      <c r="F10" s="12" t="str">
        <f>IF(ISBLANK(BusCap), IncompleteText, OKText)</f>
        <v>BLANK</v>
      </c>
      <c r="G10" s="83" t="s">
        <v>178</v>
      </c>
      <c r="H10" s="83"/>
      <c r="I10" s="85"/>
      <c r="J10" s="1" t="e">
        <f ca="1">MaxTSVoltage^2/DischargeRes</f>
        <v>#N/A</v>
      </c>
      <c r="K10" t="s">
        <v>173</v>
      </c>
      <c r="M10" s="46" t="s">
        <v>321</v>
      </c>
      <c r="N10" s="46"/>
      <c r="O10" s="46"/>
      <c r="P10" s="46"/>
      <c r="Q10" s="46"/>
      <c r="R10" s="12" t="str">
        <f>IF(COUNTIF(R11:R17, "="&amp;IncompleteText), IncompleteText, IF(COUNTIF(R11:R17, "="&amp;ErrorText), ErrorText, OKText))</f>
        <v>BLANK</v>
      </c>
      <c r="S10" s="104" t="s">
        <v>45</v>
      </c>
      <c r="T10" s="153"/>
    </row>
    <row r="11" spans="1:20" x14ac:dyDescent="0.25">
      <c r="A11" s="83" t="s">
        <v>179</v>
      </c>
      <c r="B11" s="83"/>
      <c r="C11" s="85"/>
      <c r="D11" s="54"/>
      <c r="E11" s="54"/>
      <c r="F11" s="12" t="str">
        <f>IF(ISBLANK(D11), IncompleteText, OKText)</f>
        <v>BLANK</v>
      </c>
      <c r="G11" s="83" t="s">
        <v>180</v>
      </c>
      <c r="H11" s="83"/>
      <c r="I11" s="85"/>
      <c r="J11" s="5" t="e">
        <f ca="1">MaxTSVoltage/DischargeRes</f>
        <v>#N/A</v>
      </c>
      <c r="K11" t="s">
        <v>14</v>
      </c>
      <c r="M11" s="83" t="s">
        <v>322</v>
      </c>
      <c r="N11" s="83"/>
      <c r="O11" s="85"/>
      <c r="P11" s="109"/>
      <c r="Q11" s="110"/>
      <c r="R11" s="12" t="str">
        <f>IF(ISBLANK(P11), IncompleteText, OKText)</f>
        <v>BLANK</v>
      </c>
      <c r="S11" s="154" t="s">
        <v>336</v>
      </c>
      <c r="T11" s="154"/>
    </row>
    <row r="12" spans="1:20" x14ac:dyDescent="0.25">
      <c r="A12" s="83"/>
      <c r="B12" s="83"/>
      <c r="C12" s="85"/>
      <c r="D12" s="3"/>
      <c r="E12"/>
      <c r="F12" s="12"/>
      <c r="G12" s="83" t="s">
        <v>182</v>
      </c>
      <c r="H12" s="83"/>
      <c r="I12" s="83"/>
      <c r="J12" s="1" t="e">
        <f ca="1">-LN(60/MaxTSVoltage)*DischargeRes*(BusCap/1000)</f>
        <v>#DIV/0!</v>
      </c>
      <c r="K12" t="s">
        <v>183</v>
      </c>
      <c r="L12" s="12" t="e">
        <f ca="1">IF(J12&gt;5, ErrorText, OKText)</f>
        <v>#DIV/0!</v>
      </c>
      <c r="M12" s="83" t="s">
        <v>167</v>
      </c>
      <c r="N12" s="83"/>
      <c r="O12" s="85"/>
      <c r="P12" s="109"/>
      <c r="Q12" s="110"/>
      <c r="R12" s="12" t="str">
        <f>IF(P$11="No",IF(ISBLANK(P12), IncompleteText, OKText),"")</f>
        <v/>
      </c>
      <c r="S12" s="155"/>
      <c r="T12" s="155"/>
    </row>
    <row r="13" spans="1:20" x14ac:dyDescent="0.25">
      <c r="A13" s="83" t="s">
        <v>184</v>
      </c>
      <c r="B13" s="83"/>
      <c r="C13" s="85"/>
      <c r="D13" s="3"/>
      <c r="E13" t="s">
        <v>13</v>
      </c>
      <c r="F13" s="12" t="str">
        <f>IF(D11&lt;&gt;"Delta Voltage", "", IF(ISBLANK(D13), IncompleteText, IF(D13 &gt; MaxTSVoltage*0.1, ErrorText, OKText)))</f>
        <v/>
      </c>
      <c r="G13" s="83" t="s">
        <v>185</v>
      </c>
      <c r="H13" s="83"/>
      <c r="I13" s="85"/>
      <c r="J13" s="54"/>
      <c r="K13" s="54"/>
      <c r="L13" s="12" t="str">
        <f>IF(ISBLANK(J13), IncompleteText, OKText)</f>
        <v>BLANK</v>
      </c>
      <c r="M13" s="83" t="s">
        <v>168</v>
      </c>
      <c r="N13" s="83"/>
      <c r="O13" s="85"/>
      <c r="P13" s="86"/>
      <c r="Q13" s="86"/>
      <c r="R13" s="12" t="str">
        <f>IF(P$11="No",IF(ISBLANK(P13), IncompleteText, OKText),"")</f>
        <v/>
      </c>
      <c r="S13" s="155"/>
      <c r="T13" s="155"/>
    </row>
    <row r="14" spans="1:20" x14ac:dyDescent="0.25">
      <c r="A14" s="83" t="s">
        <v>186</v>
      </c>
      <c r="B14" s="83"/>
      <c r="C14" s="85"/>
      <c r="D14" s="3"/>
      <c r="E14" t="s">
        <v>126</v>
      </c>
      <c r="F14" s="12" t="str">
        <f>IF(D11&lt;&gt;"Ratio", "", IF(ISBLANK(D14), IncompleteText, IF(D14 &lt; 90, ErrorText, OKText)))</f>
        <v/>
      </c>
      <c r="G14" s="83" t="s">
        <v>187</v>
      </c>
      <c r="H14" s="83"/>
      <c r="I14" s="85"/>
      <c r="J14" s="1" t="e">
        <f ca="1">VLOOKUP(J13, ContactorsTable, 4, FALSE)</f>
        <v>#N/A</v>
      </c>
      <c r="K14" t="s">
        <v>13</v>
      </c>
      <c r="L14" s="12" t="e">
        <f ca="1">IF(J14&lt;MaxTSVoltage, ErrorText, OKText)</f>
        <v>#N/A</v>
      </c>
      <c r="M14" s="83" t="s">
        <v>169</v>
      </c>
      <c r="N14" s="83"/>
      <c r="O14" s="85"/>
      <c r="P14" s="86"/>
      <c r="Q14" s="86"/>
      <c r="R14" s="12" t="str">
        <f>IF(P$11="No",IF(ISBLANK(P14), IncompleteText, OKText),"")</f>
        <v/>
      </c>
      <c r="S14" s="155"/>
      <c r="T14" s="155"/>
    </row>
    <row r="15" spans="1:20" x14ac:dyDescent="0.25">
      <c r="A15" s="83" t="s">
        <v>178</v>
      </c>
      <c r="B15" s="83"/>
      <c r="C15" s="85"/>
      <c r="D15" s="1" t="e">
        <f ca="1">MaxTSVoltage^2/PrechargeRes</f>
        <v>#N/A</v>
      </c>
      <c r="E15" t="s">
        <v>173</v>
      </c>
      <c r="G15" s="83" t="s">
        <v>188</v>
      </c>
      <c r="H15" s="83"/>
      <c r="I15" s="85"/>
      <c r="J15" s="1" t="e">
        <f ca="1">MIN(VLOOKUP(J13, ContactorsTable, 5, FALSE),VLOOKUP(J13, ContactorsTable, 6, FALSE))</f>
        <v>#N/A</v>
      </c>
      <c r="K15" t="s">
        <v>14</v>
      </c>
      <c r="L15" s="12" t="e">
        <f ca="1">IF(J15&lt;J11, ErrorText, OKText)</f>
        <v>#N/A</v>
      </c>
      <c r="M15" s="83" t="s">
        <v>170</v>
      </c>
      <c r="N15" s="83"/>
      <c r="O15" s="85"/>
      <c r="P15" s="1" t="e">
        <f ca="1">VLOOKUP(P12, ResistorsTable, 5, )*P14/P13</f>
        <v>#N/A</v>
      </c>
      <c r="Q15" t="s">
        <v>171</v>
      </c>
      <c r="R15" s="12" t="str">
        <f>IF(P$11="No",IF(MaxTSVoltage&lt;=200,IF(P15=5000, OKText, ErrorText),IF(MaxTSVoltage &gt; 400, IF(P15=15000, OKText, ErrorText), IF(P15=10000, OKText, ErrorText))),"")</f>
        <v/>
      </c>
      <c r="S15" s="155"/>
      <c r="T15" s="155"/>
    </row>
    <row r="16" spans="1:20" x14ac:dyDescent="0.25">
      <c r="A16" s="83" t="s">
        <v>180</v>
      </c>
      <c r="B16" s="83"/>
      <c r="C16" s="85"/>
      <c r="D16" s="5" t="e">
        <f ca="1">MaxTSVoltage/PrechargeRes</f>
        <v>#N/A</v>
      </c>
      <c r="E16" t="s">
        <v>14</v>
      </c>
      <c r="G16" s="83" t="s">
        <v>333</v>
      </c>
      <c r="H16" s="83"/>
      <c r="I16" s="85"/>
      <c r="J16" s="41" t="e">
        <f ca="1">VLOOKUP(J13, ContactorsTable, 7, FALSE)</f>
        <v>#N/A</v>
      </c>
      <c r="K16" t="s">
        <v>173</v>
      </c>
      <c r="L16" s="12" t="e">
        <f ca="1">IF(J16&lt;J10, ErrorText, OKText)</f>
        <v>#N/A</v>
      </c>
      <c r="M16" s="83" t="s">
        <v>172</v>
      </c>
      <c r="N16" s="83"/>
      <c r="O16" s="85"/>
      <c r="P16" s="1" t="e">
        <f ca="1">VLOOKUP(P12, ResistorsTable, 6, FALSE)*P14*P13</f>
        <v>#N/A</v>
      </c>
      <c r="Q16" t="s">
        <v>173</v>
      </c>
      <c r="R16" s="12" t="str">
        <f>IF(P$11="No",IF(P16&lt;(MaxTSVoltage/2)^2/P15, ErrorText, OKText),"")</f>
        <v/>
      </c>
      <c r="S16" s="155"/>
      <c r="T16" s="155"/>
    </row>
    <row r="17" spans="1:18" x14ac:dyDescent="0.25">
      <c r="A17" s="83" t="s">
        <v>189</v>
      </c>
      <c r="B17" s="83"/>
      <c r="C17" s="85"/>
      <c r="D17" s="5" t="e">
        <f ca="1">-LN(0.1)*(BusCap/1000)*PrechargeRes</f>
        <v>#N/A</v>
      </c>
      <c r="E17" t="s">
        <v>181</v>
      </c>
      <c r="G17" s="83" t="s">
        <v>258</v>
      </c>
      <c r="H17" s="83"/>
      <c r="I17" s="85"/>
      <c r="J17" s="41" t="e">
        <f ca="1">VLOOKUP(J13, ContactorsTable, 9, FALSE)</f>
        <v>#N/A</v>
      </c>
      <c r="K17"/>
      <c r="L17" s="12" t="e">
        <f ca="1">IF(J17&lt;&gt; "NC", ErrorText, OKText)</f>
        <v>#N/A</v>
      </c>
      <c r="M17" s="83" t="s">
        <v>175</v>
      </c>
      <c r="N17" s="83"/>
      <c r="O17" s="85"/>
      <c r="P17" s="1" t="e">
        <f ca="1">VLOOKUP(P12, ResistorsTable, 4, FALSE)*P14</f>
        <v>#N/A</v>
      </c>
      <c r="Q17" t="s">
        <v>13</v>
      </c>
      <c r="R17" s="12" t="str">
        <f>IF(P$11="No",IF(P17&lt;(MaxTSVoltage/2), ErrorText, OKText),"")</f>
        <v/>
      </c>
    </row>
    <row r="18" spans="1:18" x14ac:dyDescent="0.25">
      <c r="A18" s="90" t="s">
        <v>190</v>
      </c>
      <c r="B18" s="90"/>
      <c r="C18" s="156"/>
      <c r="D18" s="5" t="e">
        <f ca="1">MaxTSVoltage^2*(BusCap/1000)/2*(1-EXP(-D17*2/(PrechargeRes*(BusCap/1000))))</f>
        <v>#N/A</v>
      </c>
      <c r="E18" t="s">
        <v>191</v>
      </c>
      <c r="G18" s="104" t="s">
        <v>45</v>
      </c>
      <c r="H18" s="153"/>
    </row>
    <row r="19" spans="1:18" x14ac:dyDescent="0.25">
      <c r="A19" s="83" t="s">
        <v>192</v>
      </c>
      <c r="B19" s="83"/>
      <c r="C19" s="85"/>
      <c r="D19" s="6" t="e">
        <f ca="1">D18/D17</f>
        <v>#N/A</v>
      </c>
      <c r="E19" t="s">
        <v>173</v>
      </c>
      <c r="G19" s="152" t="s">
        <v>381</v>
      </c>
      <c r="H19" s="152"/>
    </row>
    <row r="20" spans="1:18" x14ac:dyDescent="0.25">
      <c r="A20" s="83" t="s">
        <v>185</v>
      </c>
      <c r="B20" s="83"/>
      <c r="C20" s="85"/>
      <c r="D20" s="54"/>
      <c r="E20" s="54"/>
      <c r="F20" s="12" t="str">
        <f>IF(ISBLANK(D20), IncompleteText, OKText)</f>
        <v>BLANK</v>
      </c>
    </row>
    <row r="21" spans="1:18" x14ac:dyDescent="0.25">
      <c r="A21" s="83" t="s">
        <v>187</v>
      </c>
      <c r="B21" s="83"/>
      <c r="C21" s="85"/>
      <c r="D21" s="1" t="e">
        <f ca="1">VLOOKUP(D20, ContactorsTable, 4, FALSE)</f>
        <v>#N/A</v>
      </c>
      <c r="E21" t="s">
        <v>13</v>
      </c>
      <c r="F21" s="12" t="e">
        <f ca="1">IF(D21&lt;MaxTSVoltage, ErrorText, OKText)</f>
        <v>#N/A</v>
      </c>
    </row>
    <row r="22" spans="1:18" x14ac:dyDescent="0.25">
      <c r="A22" s="83" t="s">
        <v>188</v>
      </c>
      <c r="B22" s="83"/>
      <c r="C22" s="85"/>
      <c r="D22" s="1" t="e">
        <f ca="1">MIN(VLOOKUP(D20, ContactorsTable, 5, FALSE),VLOOKUP(D20, ContactorsTable, 6, FALSE))</f>
        <v>#N/A</v>
      </c>
      <c r="E22" t="s">
        <v>14</v>
      </c>
      <c r="F22" s="12" t="e">
        <f ca="1">IF(D22&lt;D16, ErrorText, OKText)</f>
        <v>#N/A</v>
      </c>
    </row>
    <row r="23" spans="1:18" x14ac:dyDescent="0.25">
      <c r="A23" s="83" t="s">
        <v>333</v>
      </c>
      <c r="B23" s="83"/>
      <c r="C23" s="85"/>
      <c r="D23" s="41" t="e">
        <f ca="1">VLOOKUP(D20, ContactorsTable, 7, FALSE)</f>
        <v>#N/A</v>
      </c>
      <c r="E23" t="s">
        <v>173</v>
      </c>
      <c r="F23" s="12" t="e">
        <f ca="1">IF(D23&lt;D15, ErrorText, OKText)</f>
        <v>#N/A</v>
      </c>
    </row>
    <row r="25" spans="1:18" x14ac:dyDescent="0.25">
      <c r="A25" s="53" t="s">
        <v>15</v>
      </c>
      <c r="B25" s="53"/>
      <c r="C25" s="53"/>
      <c r="D25" s="53"/>
      <c r="E25" s="53"/>
      <c r="F25" s="53"/>
      <c r="G25" s="53"/>
    </row>
    <row r="26" spans="1:18" x14ac:dyDescent="0.25">
      <c r="A26" s="70"/>
      <c r="B26" s="71"/>
      <c r="C26" s="71"/>
      <c r="D26" s="71"/>
      <c r="E26" s="71"/>
      <c r="F26" s="71"/>
      <c r="G26" s="72"/>
    </row>
    <row r="27" spans="1:18" x14ac:dyDescent="0.25">
      <c r="A27" s="73"/>
      <c r="B27" s="74"/>
      <c r="C27" s="74"/>
      <c r="D27" s="74"/>
      <c r="E27" s="74"/>
      <c r="F27" s="74"/>
      <c r="G27" s="75"/>
    </row>
    <row r="28" spans="1:18" x14ac:dyDescent="0.25">
      <c r="A28" s="73"/>
      <c r="B28" s="74"/>
      <c r="C28" s="74"/>
      <c r="D28" s="74"/>
      <c r="E28" s="74"/>
      <c r="F28" s="74"/>
      <c r="G28" s="75"/>
    </row>
    <row r="29" spans="1:18" x14ac:dyDescent="0.25">
      <c r="A29" s="73"/>
      <c r="B29" s="74"/>
      <c r="C29" s="74"/>
      <c r="D29" s="74"/>
      <c r="E29" s="74"/>
      <c r="F29" s="74"/>
      <c r="G29" s="75"/>
    </row>
    <row r="30" spans="1:18" x14ac:dyDescent="0.25">
      <c r="A30" s="73"/>
      <c r="B30" s="74"/>
      <c r="C30" s="74"/>
      <c r="D30" s="74"/>
      <c r="E30" s="74"/>
      <c r="F30" s="74"/>
      <c r="G30" s="75"/>
    </row>
    <row r="31" spans="1:18" x14ac:dyDescent="0.25">
      <c r="A31" s="73"/>
      <c r="B31" s="74"/>
      <c r="C31" s="74"/>
      <c r="D31" s="74"/>
      <c r="E31" s="74"/>
      <c r="F31" s="74"/>
      <c r="G31" s="75"/>
    </row>
    <row r="32" spans="1:18" x14ac:dyDescent="0.25">
      <c r="A32" s="73"/>
      <c r="B32" s="74"/>
      <c r="C32" s="74"/>
      <c r="D32" s="74"/>
      <c r="E32" s="74"/>
      <c r="F32" s="74"/>
      <c r="G32" s="75"/>
    </row>
    <row r="33" spans="1:7" x14ac:dyDescent="0.25">
      <c r="A33" s="73"/>
      <c r="B33" s="74"/>
      <c r="C33" s="74"/>
      <c r="D33" s="74"/>
      <c r="E33" s="74"/>
      <c r="F33" s="74"/>
      <c r="G33" s="75"/>
    </row>
    <row r="34" spans="1:7" x14ac:dyDescent="0.25">
      <c r="A34" s="73"/>
      <c r="B34" s="74"/>
      <c r="C34" s="74"/>
      <c r="D34" s="74"/>
      <c r="E34" s="74"/>
      <c r="F34" s="74"/>
      <c r="G34" s="75"/>
    </row>
    <row r="35" spans="1:7" x14ac:dyDescent="0.25">
      <c r="A35" s="73"/>
      <c r="B35" s="74"/>
      <c r="C35" s="74"/>
      <c r="D35" s="74"/>
      <c r="E35" s="74"/>
      <c r="F35" s="74"/>
      <c r="G35" s="75"/>
    </row>
    <row r="36" spans="1:7" x14ac:dyDescent="0.25">
      <c r="A36" s="73"/>
      <c r="B36" s="74"/>
      <c r="C36" s="74"/>
      <c r="D36" s="74"/>
      <c r="E36" s="74"/>
      <c r="F36" s="74"/>
      <c r="G36" s="75"/>
    </row>
    <row r="37" spans="1:7" x14ac:dyDescent="0.25">
      <c r="A37" s="73"/>
      <c r="B37" s="74"/>
      <c r="C37" s="74"/>
      <c r="D37" s="74"/>
      <c r="E37" s="74"/>
      <c r="F37" s="74"/>
      <c r="G37" s="75"/>
    </row>
    <row r="38" spans="1:7" x14ac:dyDescent="0.25">
      <c r="A38" s="73"/>
      <c r="B38" s="74"/>
      <c r="C38" s="74"/>
      <c r="D38" s="74"/>
      <c r="E38" s="74"/>
      <c r="F38" s="74"/>
      <c r="G38" s="75"/>
    </row>
    <row r="39" spans="1:7" x14ac:dyDescent="0.25">
      <c r="A39" s="73"/>
      <c r="B39" s="74"/>
      <c r="C39" s="74"/>
      <c r="D39" s="74"/>
      <c r="E39" s="74"/>
      <c r="F39" s="74"/>
      <c r="G39" s="75"/>
    </row>
    <row r="40" spans="1:7" x14ac:dyDescent="0.25">
      <c r="A40" s="73"/>
      <c r="B40" s="74"/>
      <c r="C40" s="74"/>
      <c r="D40" s="74"/>
      <c r="E40" s="74"/>
      <c r="F40" s="74"/>
      <c r="G40" s="75"/>
    </row>
    <row r="41" spans="1:7" x14ac:dyDescent="0.25">
      <c r="A41" s="76"/>
      <c r="B41" s="77"/>
      <c r="C41" s="77"/>
      <c r="D41" s="77"/>
      <c r="E41" s="77"/>
      <c r="F41" s="77"/>
      <c r="G41" s="78"/>
    </row>
  </sheetData>
  <sheetProtection algorithmName="SHA-512" hashValue="I6r60EOS/JC9+GqGgFvRnE1jum/d59j5BuTh1xpjbeD07SC94W7lfyvAGNEvb+a7EIUF+gdCHNup/S+byXz87w==" saltValue="1rhGwocxqgAzEipfCrwpHQ==" spinCount="100000" sheet="1" scenarios="1" insertHyperlinks="0"/>
  <mergeCells count="73">
    <mergeCell ref="G2:K2"/>
    <mergeCell ref="A10:C10"/>
    <mergeCell ref="A9:C9"/>
    <mergeCell ref="A8:C8"/>
    <mergeCell ref="S2:T2"/>
    <mergeCell ref="S3:T8"/>
    <mergeCell ref="M8:O8"/>
    <mergeCell ref="M2:Q2"/>
    <mergeCell ref="M3:O3"/>
    <mergeCell ref="P3:Q3"/>
    <mergeCell ref="M6:O6"/>
    <mergeCell ref="M7:O7"/>
    <mergeCell ref="M4:O4"/>
    <mergeCell ref="M5:O5"/>
    <mergeCell ref="P4:Q4"/>
    <mergeCell ref="P5:Q5"/>
    <mergeCell ref="A2:E2"/>
    <mergeCell ref="D20:E20"/>
    <mergeCell ref="A5:C5"/>
    <mergeCell ref="A4:C4"/>
    <mergeCell ref="D3:E3"/>
    <mergeCell ref="A6:C6"/>
    <mergeCell ref="A3:C3"/>
    <mergeCell ref="A20:C20"/>
    <mergeCell ref="A18:C18"/>
    <mergeCell ref="A19:C19"/>
    <mergeCell ref="A16:C16"/>
    <mergeCell ref="A17:C17"/>
    <mergeCell ref="D11:E11"/>
    <mergeCell ref="A7:C7"/>
    <mergeCell ref="A12:C12"/>
    <mergeCell ref="A11:C11"/>
    <mergeCell ref="G3:I3"/>
    <mergeCell ref="J3:K3"/>
    <mergeCell ref="G4:I4"/>
    <mergeCell ref="G5:I5"/>
    <mergeCell ref="G6:I6"/>
    <mergeCell ref="G18:H18"/>
    <mergeCell ref="G17:I17"/>
    <mergeCell ref="A23:C23"/>
    <mergeCell ref="G7:I7"/>
    <mergeCell ref="G12:I12"/>
    <mergeCell ref="G10:I10"/>
    <mergeCell ref="G11:I11"/>
    <mergeCell ref="G8:I8"/>
    <mergeCell ref="G9:I9"/>
    <mergeCell ref="M10:Q10"/>
    <mergeCell ref="S10:T10"/>
    <mergeCell ref="M12:O12"/>
    <mergeCell ref="P12:Q12"/>
    <mergeCell ref="S11:T16"/>
    <mergeCell ref="M13:O13"/>
    <mergeCell ref="P13:Q13"/>
    <mergeCell ref="M14:O14"/>
    <mergeCell ref="P14:Q14"/>
    <mergeCell ref="M15:O15"/>
    <mergeCell ref="M16:O16"/>
    <mergeCell ref="A26:G41"/>
    <mergeCell ref="A25:G25"/>
    <mergeCell ref="G19:H19"/>
    <mergeCell ref="G16:I16"/>
    <mergeCell ref="P11:Q11"/>
    <mergeCell ref="M11:O11"/>
    <mergeCell ref="M17:O17"/>
    <mergeCell ref="A14:C14"/>
    <mergeCell ref="G13:I13"/>
    <mergeCell ref="J13:K13"/>
    <mergeCell ref="G14:I14"/>
    <mergeCell ref="G15:I15"/>
    <mergeCell ref="A15:C15"/>
    <mergeCell ref="A13:C13"/>
    <mergeCell ref="A22:C22"/>
    <mergeCell ref="A21:C21"/>
  </mergeCells>
  <conditionalFormatting sqref="A12 D12:F12">
    <cfRule type="expression" dxfId="4" priority="8">
      <formula>$D$11 &lt;&gt; "Time"</formula>
    </cfRule>
  </conditionalFormatting>
  <conditionalFormatting sqref="A13 D13:F13">
    <cfRule type="expression" dxfId="3" priority="7">
      <formula>$D$11 &lt;&gt; "Delta Voltage"</formula>
    </cfRule>
  </conditionalFormatting>
  <conditionalFormatting sqref="A14:F14">
    <cfRule type="expression" dxfId="2" priority="2">
      <formula>$D$11&lt;&gt;"Ratio"</formula>
    </cfRule>
  </conditionalFormatting>
  <conditionalFormatting sqref="M12:R17">
    <cfRule type="expression" dxfId="1" priority="1">
      <formula>$P$11="Yes"</formula>
    </cfRule>
  </conditionalFormatting>
  <dataValidations count="5">
    <dataValidation type="list" allowBlank="1" showInputMessage="1" showErrorMessage="1" sqref="D3:E3 J3:K3 P3:Q3 P12:Q12" xr:uid="{00000000-0002-0000-0400-000000000000}">
      <formula1>ResistorsNames</formula1>
    </dataValidation>
    <dataValidation type="list" allowBlank="1" showInputMessage="1" showErrorMessage="1" sqref="D11:E11" xr:uid="{00000000-0002-0000-0400-000001000000}">
      <formula1>"Delta Voltage,Ratio"</formula1>
    </dataValidation>
    <dataValidation type="list" allowBlank="1" showInputMessage="1" showErrorMessage="1" sqref="D20:E20 J13:K13" xr:uid="{00000000-0002-0000-0400-000002000000}">
      <formula1>ContactorNames</formula1>
    </dataValidation>
    <dataValidation type="whole" allowBlank="1" showInputMessage="1" showErrorMessage="1" sqref="D4:D5 J4:J5" xr:uid="{00000000-0002-0000-0400-000003000000}">
      <formula1>1</formula1>
      <formula2>1000</formula2>
    </dataValidation>
    <dataValidation type="list" allowBlank="1" showInputMessage="1" showErrorMessage="1" sqref="P11:Q11" xr:uid="{D22BE47C-B533-4CA3-BD79-9FEAF96A7C27}">
      <formula1>"Yes, No"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89"/>
  <sheetViews>
    <sheetView zoomScaleNormal="100" workbookViewId="0"/>
  </sheetViews>
  <sheetFormatPr defaultColWidth="8.7109375" defaultRowHeight="13.5" x14ac:dyDescent="0.25"/>
  <cols>
    <col min="1" max="16384" width="8.7109375" style="2"/>
  </cols>
  <sheetData>
    <row r="1" spans="1:23" ht="13.75" x14ac:dyDescent="0.25">
      <c r="A1" s="26" t="s">
        <v>1</v>
      </c>
      <c r="B1" s="12" t="str" cm="1">
        <f t="array" aca="1" ref="B1" ca="1">IF(SUM(COUNTIF(INDIRECT({"'Shutdown Circuit'!$F$2","'Shutdown Circuit'!$M$2","'Shutdown Circuit'!$K$36","'Shutdown Circuit'!$W$36","'Shutdown Circuit'!$W$75"}), "="&amp;IncompleteText)), IncompleteText, IF(SUM(COUNTIF(INDIRECT({"'Shutdown Circuit'!$F$2","'Shutdown Circuit'!$M$2","'Shutdown Circuit'!$K$36","'Shutdown Circuit'!$W$36","'Shutdown Circuit'!$W$75"}), "="&amp;ErrorText)), ErrorText, OKText))</f>
        <v>BLANK</v>
      </c>
    </row>
    <row r="2" spans="1:23" x14ac:dyDescent="0.25">
      <c r="A2" s="46" t="s">
        <v>82</v>
      </c>
      <c r="B2" s="46"/>
      <c r="C2" s="46"/>
      <c r="D2" s="46"/>
      <c r="E2" s="46"/>
      <c r="F2" s="103" t="str">
        <f>IF(COUNTIF(F4:F5, "="&amp;IncompleteText), IncompleteText, IF(COUNTIF(F4:F5, "="&amp;ErrorText), ErrorText, OKText))</f>
        <v>BLANK</v>
      </c>
      <c r="H2" s="46" t="s">
        <v>209</v>
      </c>
      <c r="I2" s="46"/>
      <c r="J2" s="46"/>
      <c r="K2" s="46"/>
      <c r="L2" s="46"/>
      <c r="M2" s="103" t="str">
        <f>IF(COUNTIF(M4:M8, "="&amp;IncompleteText), IncompleteText, IF(COUNTIF(M4:M8, "="&amp;ErrorText), ErrorText, OKText))</f>
        <v>BLANK</v>
      </c>
    </row>
    <row r="3" spans="1:23" x14ac:dyDescent="0.25">
      <c r="A3" s="163" t="s">
        <v>210</v>
      </c>
      <c r="B3" s="164"/>
      <c r="C3" s="164"/>
      <c r="D3" s="166" t="s">
        <v>376</v>
      </c>
      <c r="E3" s="167"/>
      <c r="F3" s="103"/>
      <c r="H3" s="163" t="s">
        <v>210</v>
      </c>
      <c r="I3" s="164"/>
      <c r="J3" s="165"/>
      <c r="K3" s="166" t="s">
        <v>382</v>
      </c>
      <c r="L3" s="167"/>
      <c r="M3" s="103"/>
    </row>
    <row r="4" spans="1:23" ht="13.75" x14ac:dyDescent="0.25">
      <c r="A4" s="83" t="s">
        <v>105</v>
      </c>
      <c r="B4" s="83"/>
      <c r="C4" s="83"/>
      <c r="D4" s="162"/>
      <c r="E4" s="162"/>
      <c r="F4" s="12" t="str">
        <f>IF(ISBLANK(D4), IncompleteText, OKText)</f>
        <v>BLANK</v>
      </c>
      <c r="H4" s="83" t="s">
        <v>211</v>
      </c>
      <c r="I4" s="83"/>
      <c r="J4" s="83"/>
      <c r="K4" s="168"/>
      <c r="L4" s="168"/>
      <c r="M4" s="12" t="str">
        <f>IF(ISBLANK(K4), IncompleteText, OKText)</f>
        <v>BLANK</v>
      </c>
    </row>
    <row r="5" spans="1:23" ht="14.5" x14ac:dyDescent="0.35">
      <c r="A5" s="83" t="s">
        <v>212</v>
      </c>
      <c r="B5" s="83"/>
      <c r="C5" s="83"/>
      <c r="D5" s="3"/>
      <c r="E5" t="s">
        <v>213</v>
      </c>
      <c r="F5" s="12" t="str">
        <f>IF(ISBLANK(D5), IncompleteText, IF(D5&lt;(MaxTSVoltage*0.5), ErrorText, OKText))</f>
        <v>BLANK</v>
      </c>
      <c r="H5" s="83" t="s">
        <v>214</v>
      </c>
      <c r="I5" s="83"/>
      <c r="J5" s="83"/>
      <c r="K5" s="168"/>
      <c r="L5" s="168"/>
      <c r="M5" s="12" t="str">
        <f>IF(ISBLANK(K5), IncompleteText, OKText)</f>
        <v>BLANK</v>
      </c>
    </row>
    <row r="6" spans="1:23" ht="13.75" x14ac:dyDescent="0.25">
      <c r="H6" s="83" t="s">
        <v>215</v>
      </c>
      <c r="I6" s="83"/>
      <c r="J6" s="83"/>
      <c r="K6" s="3"/>
      <c r="L6" t="s">
        <v>14</v>
      </c>
      <c r="M6" s="12" t="str">
        <f>IF(ISBLANK(K6),IncompleteText,IF(K6&gt;(5000/NominalTSVoltage),ErrorText,OKText))</f>
        <v>BLANK</v>
      </c>
    </row>
    <row r="7" spans="1:23" ht="13.75" x14ac:dyDescent="0.25">
      <c r="H7" s="83" t="s">
        <v>216</v>
      </c>
      <c r="I7" s="83"/>
      <c r="J7" s="83"/>
      <c r="K7" s="3"/>
      <c r="L7" t="s">
        <v>13</v>
      </c>
      <c r="M7" s="12" t="str">
        <f>IF(ISBLANK(K7), IncompleteText, OKText)</f>
        <v>BLANK</v>
      </c>
    </row>
    <row r="8" spans="1:23" ht="13.75" x14ac:dyDescent="0.25">
      <c r="H8" s="83" t="s">
        <v>217</v>
      </c>
      <c r="I8" s="83"/>
      <c r="J8" s="83"/>
      <c r="K8" s="3"/>
      <c r="L8" t="s">
        <v>14</v>
      </c>
      <c r="M8" s="12" t="str">
        <f>IF(ISBLANK(K8), IncompleteText, OKText)</f>
        <v>BLANK</v>
      </c>
    </row>
    <row r="10" spans="1:23" x14ac:dyDescent="0.25">
      <c r="A10" s="108" t="s">
        <v>218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M10" s="108" t="s">
        <v>219</v>
      </c>
      <c r="N10" s="108"/>
      <c r="O10" s="108"/>
      <c r="P10" s="108"/>
      <c r="Q10" s="108"/>
      <c r="R10" s="108"/>
      <c r="S10" s="108"/>
      <c r="T10" s="108"/>
      <c r="U10" s="108"/>
      <c r="V10" s="108"/>
      <c r="W10" s="108"/>
    </row>
    <row r="11" spans="1:23" x14ac:dyDescent="0.25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</row>
    <row r="12" spans="1:23" x14ac:dyDescent="0.25">
      <c r="A12" s="108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</row>
    <row r="13" spans="1:23" x14ac:dyDescent="0.25">
      <c r="A13" s="108"/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</row>
    <row r="14" spans="1:23" x14ac:dyDescent="0.25">
      <c r="A14" s="108"/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</row>
    <row r="15" spans="1:23" x14ac:dyDescent="0.25">
      <c r="A15" s="108"/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</row>
    <row r="16" spans="1:23" x14ac:dyDescent="0.25">
      <c r="A16" s="108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</row>
    <row r="17" spans="1:23" x14ac:dyDescent="0.25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</row>
    <row r="18" spans="1:23" x14ac:dyDescent="0.25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</row>
    <row r="19" spans="1:23" x14ac:dyDescent="0.25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</row>
    <row r="20" spans="1:23" x14ac:dyDescent="0.25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</row>
    <row r="21" spans="1:23" x14ac:dyDescent="0.25">
      <c r="A21" s="108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</row>
    <row r="22" spans="1:23" x14ac:dyDescent="0.25">
      <c r="A22" s="108"/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</row>
    <row r="23" spans="1:23" x14ac:dyDescent="0.25">
      <c r="A23" s="108"/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</row>
    <row r="24" spans="1:23" x14ac:dyDescent="0.25">
      <c r="A24" s="108"/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</row>
    <row r="25" spans="1:23" x14ac:dyDescent="0.25">
      <c r="A25" s="108"/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</row>
    <row r="26" spans="1:23" x14ac:dyDescent="0.25">
      <c r="A26" s="108"/>
      <c r="B26" s="108"/>
      <c r="C26" s="108"/>
      <c r="D26" s="108"/>
      <c r="E26" s="108"/>
      <c r="F26" s="108"/>
      <c r="G26" s="108"/>
      <c r="H26" s="108"/>
      <c r="I26" s="108"/>
      <c r="J26" s="108"/>
      <c r="K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</row>
    <row r="27" spans="1:23" x14ac:dyDescent="0.25">
      <c r="A27" s="108"/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</row>
    <row r="28" spans="1:23" x14ac:dyDescent="0.25">
      <c r="A28" s="108"/>
      <c r="B28" s="108"/>
      <c r="C28" s="108"/>
      <c r="D28" s="108"/>
      <c r="E28" s="108"/>
      <c r="F28" s="108"/>
      <c r="G28" s="108"/>
      <c r="H28" s="108"/>
      <c r="I28" s="108"/>
      <c r="J28" s="108"/>
      <c r="K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</row>
    <row r="29" spans="1:23" x14ac:dyDescent="0.25">
      <c r="A29" s="108"/>
      <c r="B29" s="108"/>
      <c r="C29" s="108"/>
      <c r="D29" s="108"/>
      <c r="E29" s="108"/>
      <c r="F29" s="108"/>
      <c r="G29" s="108"/>
      <c r="H29" s="108"/>
      <c r="I29" s="108"/>
      <c r="J29" s="108"/>
      <c r="K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</row>
    <row r="30" spans="1:23" x14ac:dyDescent="0.25">
      <c r="A30" s="108"/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</row>
    <row r="31" spans="1:23" x14ac:dyDescent="0.25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</row>
    <row r="32" spans="1:23" x14ac:dyDescent="0.25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</row>
    <row r="33" spans="1:23" x14ac:dyDescent="0.25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</row>
    <row r="34" spans="1:23" x14ac:dyDescent="0.25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</row>
    <row r="35" spans="1:23" x14ac:dyDescent="0.2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</row>
    <row r="36" spans="1:23" x14ac:dyDescent="0.25">
      <c r="A36" s="46" t="s">
        <v>220</v>
      </c>
      <c r="B36" s="46"/>
      <c r="C36" s="46"/>
      <c r="D36" s="46"/>
      <c r="E36" s="46"/>
      <c r="F36" s="46"/>
      <c r="G36" s="46"/>
      <c r="H36" s="46"/>
      <c r="I36" s="46"/>
      <c r="J36" s="46"/>
      <c r="K36" s="102" t="str">
        <f>IF(COUNTIF(K38:K63, "="&amp;IncompleteText), IncompleteText, IF(COUNTIF(K38:K63, "="&amp;ErrorText), ErrorText, OKText))</f>
        <v>BLANK</v>
      </c>
      <c r="M36" s="46" t="s">
        <v>221</v>
      </c>
      <c r="N36" s="46"/>
      <c r="O36" s="46"/>
      <c r="P36" s="46"/>
      <c r="Q36" s="46"/>
      <c r="R36" s="46"/>
      <c r="S36" s="46"/>
      <c r="T36" s="46"/>
      <c r="U36" s="46"/>
      <c r="V36" s="46"/>
      <c r="W36" s="102" t="str">
        <f>IF(COUNTIF(W38:W42, "="&amp;IncompleteText), IncompleteText, IF(COUNTIF(W38:W42, "="&amp;ErrorText), ErrorText, OKText))</f>
        <v>BLANK</v>
      </c>
    </row>
    <row r="37" spans="1:23" x14ac:dyDescent="0.25">
      <c r="A37" s="104" t="s">
        <v>45</v>
      </c>
      <c r="B37" s="153"/>
      <c r="C37" s="22"/>
      <c r="D37" s="22"/>
      <c r="E37" s="22"/>
      <c r="F37" s="22"/>
      <c r="G37" s="22"/>
      <c r="H37" s="22"/>
      <c r="I37" s="22"/>
      <c r="J37" s="22"/>
      <c r="K37" s="103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103"/>
    </row>
    <row r="38" spans="1:23" x14ac:dyDescent="0.25">
      <c r="A38" s="101"/>
      <c r="B38" s="101"/>
      <c r="C38" s="83" t="s">
        <v>231</v>
      </c>
      <c r="D38" s="83" t="s">
        <v>231</v>
      </c>
      <c r="E38" s="83" t="s">
        <v>231</v>
      </c>
      <c r="F38" s="83" t="s">
        <v>231</v>
      </c>
      <c r="G38" s="83" t="s">
        <v>231</v>
      </c>
      <c r="H38" s="83" t="s">
        <v>231</v>
      </c>
      <c r="I38" s="85" t="s">
        <v>231</v>
      </c>
      <c r="J38" s="3"/>
      <c r="K38" s="12" t="str">
        <f t="shared" ref="K38:K63" si="0">IF(ISBLANK(J38),IncompleteText, IF(J38, OKText, ErrorText))</f>
        <v>BLANK</v>
      </c>
      <c r="M38" s="83" t="s">
        <v>223</v>
      </c>
      <c r="N38" s="83"/>
      <c r="O38" s="83"/>
      <c r="P38" s="83"/>
      <c r="Q38" s="83"/>
      <c r="R38" s="83"/>
      <c r="S38" s="83"/>
      <c r="T38" s="83"/>
      <c r="U38" s="85"/>
      <c r="V38" s="3"/>
      <c r="W38" s="12" t="str">
        <f>IF(ISBLANK(V38),IncompleteText, IF(V38, OKText, ErrorText))</f>
        <v>BLANK</v>
      </c>
    </row>
    <row r="39" spans="1:23" x14ac:dyDescent="0.25">
      <c r="A39" s="100" t="s">
        <v>279</v>
      </c>
      <c r="B39" s="100" t="s">
        <v>279</v>
      </c>
      <c r="C39" s="83" t="s">
        <v>232</v>
      </c>
      <c r="D39" s="83" t="s">
        <v>232</v>
      </c>
      <c r="E39" s="83" t="s">
        <v>232</v>
      </c>
      <c r="F39" s="83" t="s">
        <v>232</v>
      </c>
      <c r="G39" s="83" t="s">
        <v>232</v>
      </c>
      <c r="H39" s="83" t="s">
        <v>232</v>
      </c>
      <c r="I39" s="85" t="s">
        <v>232</v>
      </c>
      <c r="J39" s="3"/>
      <c r="K39" s="12" t="str">
        <f t="shared" si="0"/>
        <v>BLANK</v>
      </c>
      <c r="M39" s="83" t="s">
        <v>368</v>
      </c>
      <c r="N39" s="83"/>
      <c r="O39" s="83"/>
      <c r="P39" s="83"/>
      <c r="Q39" s="83"/>
      <c r="R39" s="83"/>
      <c r="S39" s="83"/>
      <c r="T39" s="83"/>
      <c r="U39" s="85"/>
      <c r="V39" s="3"/>
      <c r="W39" s="12" t="str">
        <f>IF(ISBLANK(V39),IncompleteText, IF(V39, OKText, ErrorText))</f>
        <v>BLANK</v>
      </c>
    </row>
    <row r="40" spans="1:23" x14ac:dyDescent="0.25">
      <c r="A40" s="100" t="s">
        <v>383</v>
      </c>
      <c r="B40" s="100" t="s">
        <v>287</v>
      </c>
      <c r="C40" s="83" t="s">
        <v>222</v>
      </c>
      <c r="D40" s="83" t="s">
        <v>222</v>
      </c>
      <c r="E40" s="83" t="s">
        <v>222</v>
      </c>
      <c r="F40" s="83" t="s">
        <v>222</v>
      </c>
      <c r="G40" s="83" t="s">
        <v>222</v>
      </c>
      <c r="H40" s="83" t="s">
        <v>222</v>
      </c>
      <c r="I40" s="85" t="s">
        <v>222</v>
      </c>
      <c r="J40" s="3"/>
      <c r="K40" s="12" t="str">
        <f t="shared" si="0"/>
        <v>BLANK</v>
      </c>
      <c r="M40" s="83" t="s">
        <v>226</v>
      </c>
      <c r="N40" s="83"/>
      <c r="O40" s="83"/>
      <c r="P40" s="83"/>
      <c r="Q40" s="83"/>
      <c r="R40" s="83"/>
      <c r="S40" s="83"/>
      <c r="T40" s="83"/>
      <c r="U40" s="85"/>
      <c r="V40" s="3"/>
      <c r="W40" s="12" t="str">
        <f>IF(ISBLANK(V40),IncompleteText, IF(V40, OKText, ErrorText))</f>
        <v>BLANK</v>
      </c>
    </row>
    <row r="41" spans="1:23" x14ac:dyDescent="0.25">
      <c r="A41" s="100" t="s">
        <v>384</v>
      </c>
      <c r="B41" s="100" t="s">
        <v>305</v>
      </c>
      <c r="C41" s="83" t="s">
        <v>235</v>
      </c>
      <c r="D41" s="83" t="s">
        <v>235</v>
      </c>
      <c r="E41" s="83" t="s">
        <v>235</v>
      </c>
      <c r="F41" s="83" t="s">
        <v>235</v>
      </c>
      <c r="G41" s="83" t="s">
        <v>235</v>
      </c>
      <c r="H41" s="83" t="s">
        <v>235</v>
      </c>
      <c r="I41" s="85" t="s">
        <v>235</v>
      </c>
      <c r="J41" s="3"/>
      <c r="K41" s="12" t="str">
        <f t="shared" si="0"/>
        <v>BLANK</v>
      </c>
      <c r="M41" s="83" t="s">
        <v>73</v>
      </c>
      <c r="N41" s="83"/>
      <c r="O41" s="83"/>
      <c r="P41" s="83"/>
      <c r="Q41" s="83"/>
      <c r="R41" s="83"/>
      <c r="S41" s="83"/>
      <c r="T41" s="83"/>
      <c r="U41" s="85"/>
      <c r="V41" s="3"/>
      <c r="W41" s="12" t="str">
        <f>IF(ISBLANK(V41),IncompleteText, IF(V41, OKText, ErrorText))</f>
        <v>BLANK</v>
      </c>
    </row>
    <row r="42" spans="1:23" x14ac:dyDescent="0.25">
      <c r="A42" s="100"/>
      <c r="B42" s="100"/>
      <c r="C42" s="83" t="s">
        <v>282</v>
      </c>
      <c r="D42" s="83" t="s">
        <v>282</v>
      </c>
      <c r="E42" s="83" t="s">
        <v>282</v>
      </c>
      <c r="F42" s="83" t="s">
        <v>282</v>
      </c>
      <c r="G42" s="83" t="s">
        <v>282</v>
      </c>
      <c r="H42" s="83" t="s">
        <v>282</v>
      </c>
      <c r="I42" s="85" t="s">
        <v>282</v>
      </c>
      <c r="J42" s="3"/>
      <c r="K42" s="12" t="str">
        <f>IF(ISBLANK(J42),IncompleteText,IF(OR(J42=TRUE,J42="N/A"),OKText,ErrorText))</f>
        <v>BLANK</v>
      </c>
      <c r="M42" s="83" t="s">
        <v>363</v>
      </c>
      <c r="N42" s="83"/>
      <c r="O42" s="83"/>
      <c r="P42" s="83"/>
      <c r="Q42" s="83"/>
      <c r="R42" s="83"/>
      <c r="S42" s="83"/>
      <c r="T42" s="83"/>
      <c r="U42" s="85"/>
      <c r="V42" s="3"/>
      <c r="W42" s="12" t="str">
        <f>IF(ISBLANK(V42),IncompleteText, IF(V42, OKText, ErrorText))</f>
        <v>BLANK</v>
      </c>
    </row>
    <row r="43" spans="1:23" x14ac:dyDescent="0.25">
      <c r="A43" s="100" t="s">
        <v>376</v>
      </c>
      <c r="B43" s="100" t="s">
        <v>268</v>
      </c>
      <c r="C43" s="83" t="s">
        <v>82</v>
      </c>
      <c r="D43" s="83" t="s">
        <v>82</v>
      </c>
      <c r="E43" s="83" t="s">
        <v>82</v>
      </c>
      <c r="F43" s="83" t="s">
        <v>82</v>
      </c>
      <c r="G43" s="83" t="s">
        <v>82</v>
      </c>
      <c r="H43" s="83" t="s">
        <v>82</v>
      </c>
      <c r="I43" s="85" t="s">
        <v>82</v>
      </c>
      <c r="J43" s="3"/>
      <c r="K43" s="12" t="str">
        <f t="shared" si="0"/>
        <v>BLANK</v>
      </c>
      <c r="M43" s="46" t="s">
        <v>15</v>
      </c>
      <c r="N43" s="46"/>
      <c r="O43" s="46"/>
      <c r="P43" s="46"/>
      <c r="Q43" s="46"/>
      <c r="R43" s="46"/>
      <c r="S43" s="46"/>
      <c r="T43" s="46"/>
      <c r="U43" s="169"/>
      <c r="V43" s="113" t="s">
        <v>45</v>
      </c>
      <c r="W43" s="114"/>
    </row>
    <row r="44" spans="1:23" x14ac:dyDescent="0.25">
      <c r="A44" s="100" t="s">
        <v>230</v>
      </c>
      <c r="B44" s="100" t="s">
        <v>277</v>
      </c>
      <c r="C44" s="83" t="s">
        <v>89</v>
      </c>
      <c r="D44" s="83" t="s">
        <v>89</v>
      </c>
      <c r="E44" s="83" t="s">
        <v>89</v>
      </c>
      <c r="F44" s="83" t="s">
        <v>89</v>
      </c>
      <c r="G44" s="83" t="s">
        <v>89</v>
      </c>
      <c r="H44" s="83" t="s">
        <v>89</v>
      </c>
      <c r="I44" s="85" t="s">
        <v>89</v>
      </c>
      <c r="J44" s="3"/>
      <c r="K44" s="12" t="str">
        <f t="shared" si="0"/>
        <v>BLANK</v>
      </c>
      <c r="M44" s="73"/>
      <c r="N44" s="74"/>
      <c r="O44" s="74"/>
      <c r="P44" s="74"/>
      <c r="Q44" s="74"/>
      <c r="R44" s="74"/>
      <c r="S44" s="74"/>
      <c r="T44" s="74"/>
      <c r="U44" s="74"/>
      <c r="V44" s="92" t="s">
        <v>382</v>
      </c>
      <c r="W44" s="157"/>
    </row>
    <row r="45" spans="1:23" x14ac:dyDescent="0.25">
      <c r="A45" s="100" t="s">
        <v>382</v>
      </c>
      <c r="B45" s="100" t="s">
        <v>274</v>
      </c>
      <c r="C45" s="83" t="s">
        <v>209</v>
      </c>
      <c r="D45" s="83" t="s">
        <v>209</v>
      </c>
      <c r="E45" s="83" t="s">
        <v>209</v>
      </c>
      <c r="F45" s="83" t="s">
        <v>209</v>
      </c>
      <c r="G45" s="83" t="s">
        <v>209</v>
      </c>
      <c r="H45" s="83" t="s">
        <v>209</v>
      </c>
      <c r="I45" s="85" t="s">
        <v>209</v>
      </c>
      <c r="J45" s="3"/>
      <c r="K45" s="12" t="str">
        <f t="shared" si="0"/>
        <v>BLANK</v>
      </c>
      <c r="M45" s="73"/>
      <c r="N45" s="74"/>
      <c r="O45" s="74"/>
      <c r="P45" s="74"/>
      <c r="Q45" s="74"/>
      <c r="R45" s="74"/>
      <c r="S45" s="74"/>
      <c r="T45" s="74"/>
      <c r="U45" s="74"/>
      <c r="V45" s="158"/>
      <c r="W45" s="159"/>
    </row>
    <row r="46" spans="1:23" x14ac:dyDescent="0.25">
      <c r="A46" s="100" t="s">
        <v>385</v>
      </c>
      <c r="B46" s="100" t="s">
        <v>278</v>
      </c>
      <c r="C46" s="83" t="s">
        <v>331</v>
      </c>
      <c r="D46" s="83" t="s">
        <v>331</v>
      </c>
      <c r="E46" s="83" t="s">
        <v>331</v>
      </c>
      <c r="F46" s="83" t="s">
        <v>331</v>
      </c>
      <c r="G46" s="83" t="s">
        <v>331</v>
      </c>
      <c r="H46" s="83" t="s">
        <v>331</v>
      </c>
      <c r="I46" s="85" t="s">
        <v>331</v>
      </c>
      <c r="J46" s="3"/>
      <c r="K46" s="12" t="str">
        <f t="shared" si="0"/>
        <v>BLANK</v>
      </c>
      <c r="M46" s="73"/>
      <c r="N46" s="74"/>
      <c r="O46" s="74"/>
      <c r="P46" s="74"/>
      <c r="Q46" s="74"/>
      <c r="R46" s="74"/>
      <c r="S46" s="74"/>
      <c r="T46" s="74"/>
      <c r="U46" s="74"/>
      <c r="V46" s="158"/>
      <c r="W46" s="159"/>
    </row>
    <row r="47" spans="1:23" x14ac:dyDescent="0.25">
      <c r="A47" s="100" t="s">
        <v>276</v>
      </c>
      <c r="B47" s="100" t="s">
        <v>276</v>
      </c>
      <c r="C47" s="83" t="s">
        <v>229</v>
      </c>
      <c r="D47" s="83" t="s">
        <v>229</v>
      </c>
      <c r="E47" s="83" t="s">
        <v>229</v>
      </c>
      <c r="F47" s="83" t="s">
        <v>229</v>
      </c>
      <c r="G47" s="83" t="s">
        <v>229</v>
      </c>
      <c r="H47" s="83" t="s">
        <v>229</v>
      </c>
      <c r="I47" s="85" t="s">
        <v>229</v>
      </c>
      <c r="J47" s="3"/>
      <c r="K47" s="12" t="str">
        <f t="shared" si="0"/>
        <v>BLANK</v>
      </c>
      <c r="M47" s="73"/>
      <c r="N47" s="74"/>
      <c r="O47" s="74"/>
      <c r="P47" s="74"/>
      <c r="Q47" s="74"/>
      <c r="R47" s="74"/>
      <c r="S47" s="74"/>
      <c r="T47" s="74"/>
      <c r="U47" s="74"/>
      <c r="V47" s="160"/>
      <c r="W47" s="161"/>
    </row>
    <row r="48" spans="1:23" x14ac:dyDescent="0.25">
      <c r="A48" s="100" t="s">
        <v>386</v>
      </c>
      <c r="B48" s="100" t="s">
        <v>290</v>
      </c>
      <c r="C48" s="83" t="s">
        <v>227</v>
      </c>
      <c r="D48" s="83" t="s">
        <v>227</v>
      </c>
      <c r="E48" s="83" t="s">
        <v>227</v>
      </c>
      <c r="F48" s="83" t="s">
        <v>227</v>
      </c>
      <c r="G48" s="83" t="s">
        <v>227</v>
      </c>
      <c r="H48" s="83" t="s">
        <v>227</v>
      </c>
      <c r="I48" s="85" t="s">
        <v>227</v>
      </c>
      <c r="J48" s="3"/>
      <c r="K48" s="12" t="str">
        <f t="shared" si="0"/>
        <v>BLANK</v>
      </c>
    </row>
    <row r="49" spans="1:23" x14ac:dyDescent="0.25">
      <c r="A49" s="100" t="s">
        <v>387</v>
      </c>
      <c r="B49" s="100" t="s">
        <v>289</v>
      </c>
      <c r="C49" s="83" t="s">
        <v>225</v>
      </c>
      <c r="D49" s="83" t="s">
        <v>225</v>
      </c>
      <c r="E49" s="83" t="s">
        <v>225</v>
      </c>
      <c r="F49" s="83" t="s">
        <v>225</v>
      </c>
      <c r="G49" s="83" t="s">
        <v>225</v>
      </c>
      <c r="H49" s="83" t="s">
        <v>225</v>
      </c>
      <c r="I49" s="85" t="s">
        <v>225</v>
      </c>
      <c r="J49" s="3"/>
      <c r="K49" s="12" t="str">
        <f t="shared" si="0"/>
        <v>BLANK</v>
      </c>
      <c r="M49" s="108" t="s">
        <v>318</v>
      </c>
      <c r="N49" s="108"/>
      <c r="O49" s="108"/>
      <c r="P49" s="108"/>
      <c r="Q49" s="108"/>
      <c r="R49" s="108"/>
      <c r="S49" s="108"/>
      <c r="T49" s="108"/>
      <c r="U49" s="108"/>
      <c r="V49" s="108"/>
      <c r="W49" s="108"/>
    </row>
    <row r="50" spans="1:23" x14ac:dyDescent="0.25">
      <c r="A50" s="100" t="s">
        <v>275</v>
      </c>
      <c r="B50" s="100" t="s">
        <v>275</v>
      </c>
      <c r="C50" s="83" t="s">
        <v>228</v>
      </c>
      <c r="D50" s="83" t="s">
        <v>228</v>
      </c>
      <c r="E50" s="83" t="s">
        <v>228</v>
      </c>
      <c r="F50" s="83" t="s">
        <v>228</v>
      </c>
      <c r="G50" s="83" t="s">
        <v>228</v>
      </c>
      <c r="H50" s="83" t="s">
        <v>228</v>
      </c>
      <c r="I50" s="85" t="s">
        <v>228</v>
      </c>
      <c r="J50" s="3"/>
      <c r="K50" s="12" t="str">
        <f t="shared" si="0"/>
        <v>BLANK</v>
      </c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</row>
    <row r="51" spans="1:23" x14ac:dyDescent="0.25">
      <c r="A51" s="100" t="s">
        <v>291</v>
      </c>
      <c r="B51" s="100" t="s">
        <v>291</v>
      </c>
      <c r="C51" s="83" t="s">
        <v>292</v>
      </c>
      <c r="D51" s="83" t="s">
        <v>292</v>
      </c>
      <c r="E51" s="83" t="s">
        <v>292</v>
      </c>
      <c r="F51" s="83" t="s">
        <v>292</v>
      </c>
      <c r="G51" s="83" t="s">
        <v>292</v>
      </c>
      <c r="H51" s="83" t="s">
        <v>292</v>
      </c>
      <c r="I51" s="85" t="s">
        <v>292</v>
      </c>
      <c r="J51" s="3"/>
      <c r="K51" s="12" t="str">
        <f t="shared" si="0"/>
        <v>BLANK</v>
      </c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</row>
    <row r="52" spans="1:23" x14ac:dyDescent="0.25">
      <c r="A52" s="100" t="s">
        <v>360</v>
      </c>
      <c r="B52" s="100" t="s">
        <v>360</v>
      </c>
      <c r="C52" s="83" t="s">
        <v>361</v>
      </c>
      <c r="D52" s="83" t="s">
        <v>361</v>
      </c>
      <c r="E52" s="83" t="s">
        <v>361</v>
      </c>
      <c r="F52" s="83" t="s">
        <v>361</v>
      </c>
      <c r="G52" s="83" t="s">
        <v>361</v>
      </c>
      <c r="H52" s="83" t="s">
        <v>361</v>
      </c>
      <c r="I52" s="85" t="s">
        <v>361</v>
      </c>
      <c r="J52" s="3"/>
      <c r="K52" s="12" t="str">
        <f t="shared" si="0"/>
        <v>BLANK</v>
      </c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</row>
    <row r="53" spans="1:23" x14ac:dyDescent="0.25">
      <c r="A53" s="100" t="s">
        <v>302</v>
      </c>
      <c r="B53" s="100" t="s">
        <v>302</v>
      </c>
      <c r="C53" s="83" t="s">
        <v>388</v>
      </c>
      <c r="D53" s="83" t="s">
        <v>306</v>
      </c>
      <c r="E53" s="83" t="s">
        <v>306</v>
      </c>
      <c r="F53" s="83" t="s">
        <v>306</v>
      </c>
      <c r="G53" s="83" t="s">
        <v>306</v>
      </c>
      <c r="H53" s="83" t="s">
        <v>306</v>
      </c>
      <c r="I53" s="85" t="s">
        <v>306</v>
      </c>
      <c r="J53" s="3"/>
      <c r="K53" s="12" t="str">
        <f>IF(ISBLANK(J53),IncompleteText,IF(OR(J53=TRUE,J53="N/A"),OKText,ErrorText))</f>
        <v>BLANK</v>
      </c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</row>
    <row r="54" spans="1:23" x14ac:dyDescent="0.25">
      <c r="A54" s="100" t="s">
        <v>389</v>
      </c>
      <c r="B54" s="100" t="s">
        <v>280</v>
      </c>
      <c r="C54" s="83" t="s">
        <v>238</v>
      </c>
      <c r="D54" s="83" t="s">
        <v>238</v>
      </c>
      <c r="E54" s="83" t="s">
        <v>238</v>
      </c>
      <c r="F54" s="83" t="s">
        <v>238</v>
      </c>
      <c r="G54" s="83" t="s">
        <v>238</v>
      </c>
      <c r="H54" s="83" t="s">
        <v>238</v>
      </c>
      <c r="I54" s="85" t="s">
        <v>238</v>
      </c>
      <c r="J54" s="3"/>
      <c r="K54" s="12" t="str">
        <f t="shared" si="0"/>
        <v>BLANK</v>
      </c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</row>
    <row r="55" spans="1:23" x14ac:dyDescent="0.25">
      <c r="A55" s="100" t="s">
        <v>390</v>
      </c>
      <c r="B55" s="100" t="s">
        <v>288</v>
      </c>
      <c r="C55" s="83" t="s">
        <v>224</v>
      </c>
      <c r="D55" s="83" t="s">
        <v>224</v>
      </c>
      <c r="E55" s="83" t="s">
        <v>224</v>
      </c>
      <c r="F55" s="83" t="s">
        <v>224</v>
      </c>
      <c r="G55" s="83" t="s">
        <v>224</v>
      </c>
      <c r="H55" s="83" t="s">
        <v>224</v>
      </c>
      <c r="I55" s="85" t="s">
        <v>224</v>
      </c>
      <c r="J55" s="3"/>
      <c r="K55" s="12" t="str">
        <f t="shared" si="0"/>
        <v>BLANK</v>
      </c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</row>
    <row r="56" spans="1:23" x14ac:dyDescent="0.25">
      <c r="A56" s="100" t="s">
        <v>391</v>
      </c>
      <c r="B56" s="100" t="s">
        <v>304</v>
      </c>
      <c r="C56" s="83" t="s">
        <v>355</v>
      </c>
      <c r="D56" s="83" t="s">
        <v>355</v>
      </c>
      <c r="E56" s="83" t="s">
        <v>355</v>
      </c>
      <c r="F56" s="83" t="s">
        <v>355</v>
      </c>
      <c r="G56" s="83" t="s">
        <v>355</v>
      </c>
      <c r="H56" s="83" t="s">
        <v>355</v>
      </c>
      <c r="I56" s="85" t="s">
        <v>355</v>
      </c>
      <c r="J56" s="3"/>
      <c r="K56" s="12" t="str">
        <f t="shared" si="0"/>
        <v>BLANK</v>
      </c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</row>
    <row r="57" spans="1:23" x14ac:dyDescent="0.25">
      <c r="A57" s="100" t="s">
        <v>392</v>
      </c>
      <c r="B57" s="100" t="s">
        <v>293</v>
      </c>
      <c r="C57" s="83" t="s">
        <v>233</v>
      </c>
      <c r="D57" s="83" t="s">
        <v>233</v>
      </c>
      <c r="E57" s="83" t="s">
        <v>233</v>
      </c>
      <c r="F57" s="83" t="s">
        <v>233</v>
      </c>
      <c r="G57" s="83" t="s">
        <v>233</v>
      </c>
      <c r="H57" s="83" t="s">
        <v>233</v>
      </c>
      <c r="I57" s="85" t="s">
        <v>233</v>
      </c>
      <c r="J57" s="3"/>
      <c r="K57" s="12" t="str">
        <f t="shared" si="0"/>
        <v>BLANK</v>
      </c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</row>
    <row r="58" spans="1:23" x14ac:dyDescent="0.25">
      <c r="A58" s="100" t="s">
        <v>392</v>
      </c>
      <c r="B58" s="100" t="s">
        <v>293</v>
      </c>
      <c r="C58" s="83" t="s">
        <v>297</v>
      </c>
      <c r="D58" s="83" t="s">
        <v>297</v>
      </c>
      <c r="E58" s="83" t="s">
        <v>297</v>
      </c>
      <c r="F58" s="83" t="s">
        <v>297</v>
      </c>
      <c r="G58" s="83" t="s">
        <v>297</v>
      </c>
      <c r="H58" s="83" t="s">
        <v>297</v>
      </c>
      <c r="I58" s="85" t="s">
        <v>297</v>
      </c>
      <c r="J58" s="3"/>
      <c r="K58" s="12" t="str">
        <f t="shared" si="0"/>
        <v>BLANK</v>
      </c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</row>
    <row r="59" spans="1:23" x14ac:dyDescent="0.25">
      <c r="A59" s="100" t="s">
        <v>392</v>
      </c>
      <c r="B59" s="100" t="s">
        <v>293</v>
      </c>
      <c r="C59" s="83" t="s">
        <v>298</v>
      </c>
      <c r="D59" s="83" t="s">
        <v>298</v>
      </c>
      <c r="E59" s="83" t="s">
        <v>298</v>
      </c>
      <c r="F59" s="83" t="s">
        <v>298</v>
      </c>
      <c r="G59" s="83" t="s">
        <v>298</v>
      </c>
      <c r="H59" s="83" t="s">
        <v>298</v>
      </c>
      <c r="I59" s="85" t="s">
        <v>298</v>
      </c>
      <c r="J59" s="3"/>
      <c r="K59" s="12" t="str">
        <f t="shared" si="0"/>
        <v>BLANK</v>
      </c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</row>
    <row r="60" spans="1:23" x14ac:dyDescent="0.25">
      <c r="A60" s="100" t="s">
        <v>303</v>
      </c>
      <c r="B60" s="100" t="s">
        <v>303</v>
      </c>
      <c r="C60" s="83" t="s">
        <v>234</v>
      </c>
      <c r="D60" s="83" t="s">
        <v>234</v>
      </c>
      <c r="E60" s="83" t="s">
        <v>234</v>
      </c>
      <c r="F60" s="83" t="s">
        <v>234</v>
      </c>
      <c r="G60" s="83" t="s">
        <v>234</v>
      </c>
      <c r="H60" s="83" t="s">
        <v>234</v>
      </c>
      <c r="I60" s="85" t="s">
        <v>234</v>
      </c>
      <c r="J60" s="3"/>
      <c r="K60" s="12" t="str">
        <f t="shared" si="0"/>
        <v>BLANK</v>
      </c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</row>
    <row r="61" spans="1:23" x14ac:dyDescent="0.25">
      <c r="A61" s="100"/>
      <c r="B61" s="100"/>
      <c r="C61" s="83" t="s">
        <v>206</v>
      </c>
      <c r="D61" s="83" t="s">
        <v>206</v>
      </c>
      <c r="E61" s="83" t="s">
        <v>206</v>
      </c>
      <c r="F61" s="83" t="s">
        <v>206</v>
      </c>
      <c r="G61" s="83" t="s">
        <v>206</v>
      </c>
      <c r="H61" s="83" t="s">
        <v>206</v>
      </c>
      <c r="I61" s="85" t="s">
        <v>206</v>
      </c>
      <c r="J61" s="3"/>
      <c r="K61" s="12" t="str">
        <f t="shared" si="0"/>
        <v>BLANK</v>
      </c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</row>
    <row r="62" spans="1:23" x14ac:dyDescent="0.25">
      <c r="A62" s="100"/>
      <c r="B62" s="100"/>
      <c r="C62" s="83" t="s">
        <v>236</v>
      </c>
      <c r="D62" s="83" t="s">
        <v>236</v>
      </c>
      <c r="E62" s="83" t="s">
        <v>236</v>
      </c>
      <c r="F62" s="83" t="s">
        <v>236</v>
      </c>
      <c r="G62" s="83" t="s">
        <v>236</v>
      </c>
      <c r="H62" s="83" t="s">
        <v>236</v>
      </c>
      <c r="I62" s="85" t="s">
        <v>236</v>
      </c>
      <c r="J62" s="3"/>
      <c r="K62" s="12" t="str">
        <f t="shared" si="0"/>
        <v>BLANK</v>
      </c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</row>
    <row r="63" spans="1:23" x14ac:dyDescent="0.25">
      <c r="A63" s="100"/>
      <c r="B63" s="100"/>
      <c r="C63" s="83" t="s">
        <v>237</v>
      </c>
      <c r="D63" s="83" t="s">
        <v>237</v>
      </c>
      <c r="E63" s="83" t="s">
        <v>237</v>
      </c>
      <c r="F63" s="83" t="s">
        <v>237</v>
      </c>
      <c r="G63" s="83" t="s">
        <v>237</v>
      </c>
      <c r="H63" s="83" t="s">
        <v>237</v>
      </c>
      <c r="I63" s="85" t="s">
        <v>237</v>
      </c>
      <c r="J63" s="3"/>
      <c r="K63" s="12" t="str">
        <f t="shared" si="0"/>
        <v>BLANK</v>
      </c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</row>
    <row r="64" spans="1:23" x14ac:dyDescent="0.25">
      <c r="A64" s="46" t="s">
        <v>15</v>
      </c>
      <c r="B64" s="46"/>
      <c r="C64" s="46"/>
      <c r="D64" s="46"/>
      <c r="E64" s="46"/>
      <c r="F64" s="46"/>
      <c r="G64" s="46"/>
      <c r="H64" s="46"/>
      <c r="I64" s="46"/>
      <c r="J64" s="113" t="s">
        <v>45</v>
      </c>
      <c r="K64" s="114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</row>
    <row r="65" spans="1:23" x14ac:dyDescent="0.25">
      <c r="A65" s="73"/>
      <c r="B65" s="74"/>
      <c r="C65" s="74"/>
      <c r="D65" s="74"/>
      <c r="E65" s="74"/>
      <c r="F65" s="74"/>
      <c r="G65" s="74"/>
      <c r="H65" s="74"/>
      <c r="I65" s="74"/>
      <c r="J65" s="92" t="s">
        <v>393</v>
      </c>
      <c r="K65" s="157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</row>
    <row r="66" spans="1:23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158"/>
      <c r="K66" s="159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</row>
    <row r="67" spans="1:23" x14ac:dyDescent="0.25">
      <c r="A67" s="73"/>
      <c r="B67" s="74"/>
      <c r="C67" s="74"/>
      <c r="D67" s="74"/>
      <c r="E67" s="74"/>
      <c r="F67" s="74"/>
      <c r="G67" s="74"/>
      <c r="H67" s="74"/>
      <c r="I67" s="74"/>
      <c r="J67" s="158"/>
      <c r="K67" s="159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</row>
    <row r="68" spans="1:23" x14ac:dyDescent="0.25">
      <c r="A68" s="73"/>
      <c r="B68" s="74"/>
      <c r="C68" s="74"/>
      <c r="D68" s="74"/>
      <c r="E68" s="74"/>
      <c r="F68" s="74"/>
      <c r="G68" s="74"/>
      <c r="H68" s="74"/>
      <c r="I68" s="74"/>
      <c r="J68" s="160"/>
      <c r="K68" s="161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</row>
    <row r="69" spans="1:23" x14ac:dyDescent="0.25"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</row>
    <row r="70" spans="1:23" x14ac:dyDescent="0.25"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</row>
    <row r="71" spans="1:23" x14ac:dyDescent="0.25"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</row>
    <row r="72" spans="1:23" x14ac:dyDescent="0.25"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</row>
    <row r="73" spans="1:23" x14ac:dyDescent="0.25"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</row>
    <row r="74" spans="1:23" x14ac:dyDescent="0.25"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</row>
    <row r="75" spans="1:23" x14ac:dyDescent="0.25"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</row>
    <row r="76" spans="1:23" x14ac:dyDescent="0.25"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</row>
    <row r="77" spans="1:23" x14ac:dyDescent="0.25">
      <c r="M77" s="46" t="s">
        <v>312</v>
      </c>
      <c r="N77" s="46"/>
      <c r="O77" s="46"/>
      <c r="P77" s="46"/>
      <c r="Q77" s="46"/>
      <c r="R77" s="46"/>
      <c r="S77" s="46"/>
      <c r="T77" s="46"/>
      <c r="U77" s="46"/>
      <c r="V77" s="46"/>
      <c r="W77" s="28" t="str">
        <f>IF(COUNTIF(W78:W84, "="&amp;IncompleteText), IncompleteText, IF(COUNTIF(W78:W84, "="&amp;ErrorText), ErrorText, OKText))</f>
        <v>BLANK</v>
      </c>
    </row>
    <row r="78" spans="1:23" x14ac:dyDescent="0.25">
      <c r="M78" s="83" t="s">
        <v>316</v>
      </c>
      <c r="N78" s="83"/>
      <c r="O78" s="83"/>
      <c r="P78" s="83"/>
      <c r="Q78" s="83"/>
      <c r="R78" s="83"/>
      <c r="S78" s="83"/>
      <c r="T78" s="83"/>
      <c r="U78" s="85"/>
      <c r="V78" s="3"/>
      <c r="W78" s="12" t="str">
        <f>IF(ISBLANK(V78),IncompleteText, IF(V78, OKText, ErrorText))</f>
        <v>BLANK</v>
      </c>
    </row>
    <row r="79" spans="1:23" x14ac:dyDescent="0.25">
      <c r="M79" s="83" t="s">
        <v>313</v>
      </c>
      <c r="N79" s="83"/>
      <c r="O79" s="83"/>
      <c r="P79" s="83"/>
      <c r="Q79" s="83"/>
      <c r="R79" s="83"/>
      <c r="S79" s="83"/>
      <c r="T79" s="83"/>
      <c r="U79" s="85"/>
      <c r="V79" s="3"/>
      <c r="W79" s="12" t="str">
        <f>IF(ISBLANK(V79),IncompleteText, IF(V79, OKText, ErrorText))</f>
        <v>BLANK</v>
      </c>
    </row>
    <row r="80" spans="1:23" x14ac:dyDescent="0.25">
      <c r="M80" s="83" t="s">
        <v>317</v>
      </c>
      <c r="N80" s="83"/>
      <c r="O80" s="83"/>
      <c r="P80" s="83"/>
      <c r="Q80" s="83"/>
      <c r="R80" s="83"/>
      <c r="S80" s="83"/>
      <c r="T80" s="83"/>
      <c r="U80" s="85"/>
      <c r="V80" s="3"/>
      <c r="W80" s="12" t="str">
        <f>IF(ISBLANK(V80),IncompleteText, IF(V80, OKText, ErrorText))</f>
        <v>BLANK</v>
      </c>
    </row>
    <row r="81" spans="13:23" x14ac:dyDescent="0.25">
      <c r="M81" s="83" t="s">
        <v>314</v>
      </c>
      <c r="N81" s="83"/>
      <c r="O81" s="83"/>
      <c r="P81" s="83"/>
      <c r="Q81" s="83"/>
      <c r="R81" s="83"/>
      <c r="S81" s="83"/>
      <c r="T81" s="85"/>
      <c r="U81" s="54"/>
      <c r="V81" s="54"/>
      <c r="W81" s="12" t="str">
        <f>IF(ISBLANK(U81), IncompleteText, OKText)</f>
        <v>BLANK</v>
      </c>
    </row>
    <row r="82" spans="13:23" x14ac:dyDescent="0.25">
      <c r="M82" s="83" t="s">
        <v>24</v>
      </c>
      <c r="N82" s="83"/>
      <c r="O82" s="83"/>
      <c r="P82" s="83"/>
      <c r="Q82" s="83"/>
      <c r="R82" s="83"/>
      <c r="S82" s="83"/>
      <c r="T82" s="85"/>
      <c r="U82" s="54"/>
      <c r="V82" s="54"/>
      <c r="W82" s="12" t="str">
        <f>IF(U81="Purchased", IF(ISBLANK(U82), IncompleteText, OKText), "")</f>
        <v/>
      </c>
    </row>
    <row r="83" spans="13:23" x14ac:dyDescent="0.25">
      <c r="M83" s="83" t="s">
        <v>35</v>
      </c>
      <c r="N83" s="83"/>
      <c r="O83" s="83"/>
      <c r="P83" s="83"/>
      <c r="Q83" s="83"/>
      <c r="R83" s="83"/>
      <c r="S83" s="83"/>
      <c r="T83" s="85"/>
      <c r="U83" s="87"/>
      <c r="V83" s="88"/>
      <c r="W83" s="12" t="str">
        <f>IF(U81="Purchased", IF(ISBLANK(U83), IncompleteText, OKText), "")</f>
        <v/>
      </c>
    </row>
    <row r="84" spans="13:23" x14ac:dyDescent="0.25">
      <c r="M84" s="83" t="s">
        <v>315</v>
      </c>
      <c r="N84" s="83"/>
      <c r="O84" s="83"/>
      <c r="P84" s="83"/>
      <c r="Q84" s="83"/>
      <c r="R84" s="83"/>
      <c r="S84" s="83"/>
      <c r="T84" s="109"/>
      <c r="U84" s="170"/>
      <c r="V84" s="170"/>
      <c r="W84" s="12" t="str">
        <f>IF(ISBLANK(T84),IncompleteText, IF(OR(T84="Manufacturer approved",T84="Team tested"), OKText, ErrorText))</f>
        <v>BLANK</v>
      </c>
    </row>
    <row r="85" spans="13:23" x14ac:dyDescent="0.25">
      <c r="M85" s="46" t="s">
        <v>15</v>
      </c>
      <c r="N85" s="46"/>
      <c r="O85" s="46"/>
      <c r="P85" s="46"/>
      <c r="Q85" s="46"/>
      <c r="R85" s="46"/>
      <c r="S85" s="46"/>
      <c r="T85" s="46"/>
      <c r="U85" s="46"/>
      <c r="V85" s="113" t="s">
        <v>45</v>
      </c>
      <c r="W85" s="114"/>
    </row>
    <row r="86" spans="13:23" x14ac:dyDescent="0.25">
      <c r="M86" s="73"/>
      <c r="N86" s="74"/>
      <c r="O86" s="74"/>
      <c r="P86" s="74"/>
      <c r="Q86" s="74"/>
      <c r="R86" s="74"/>
      <c r="S86" s="74"/>
      <c r="T86" s="74"/>
      <c r="U86" s="75"/>
      <c r="V86" s="92" t="s">
        <v>394</v>
      </c>
      <c r="W86" s="93"/>
    </row>
    <row r="87" spans="13:23" x14ac:dyDescent="0.25">
      <c r="M87" s="73"/>
      <c r="N87" s="74"/>
      <c r="O87" s="74"/>
      <c r="P87" s="74"/>
      <c r="Q87" s="74"/>
      <c r="R87" s="74"/>
      <c r="S87" s="74"/>
      <c r="T87" s="74"/>
      <c r="U87" s="75"/>
      <c r="V87" s="94"/>
      <c r="W87" s="95"/>
    </row>
    <row r="88" spans="13:23" x14ac:dyDescent="0.25">
      <c r="M88" s="73"/>
      <c r="N88" s="74"/>
      <c r="O88" s="74"/>
      <c r="P88" s="74"/>
      <c r="Q88" s="74"/>
      <c r="R88" s="74"/>
      <c r="S88" s="74"/>
      <c r="T88" s="74"/>
      <c r="U88" s="75"/>
      <c r="V88" s="94"/>
      <c r="W88" s="95"/>
    </row>
    <row r="89" spans="13:23" x14ac:dyDescent="0.25">
      <c r="M89" s="73"/>
      <c r="N89" s="74"/>
      <c r="O89" s="74"/>
      <c r="P89" s="74"/>
      <c r="Q89" s="74"/>
      <c r="R89" s="74"/>
      <c r="S89" s="74"/>
      <c r="T89" s="74"/>
      <c r="U89" s="75"/>
      <c r="V89" s="96"/>
      <c r="W89" s="97"/>
    </row>
  </sheetData>
  <sheetProtection algorithmName="SHA-512" hashValue="Nq2PORDTrLSN48N/+XtPpjN/1kshA8Dus5ZmKw0kkkiO7JAtMfwFcG1OrSKNBIcYtL1r6LlMLbsZFRhHJBU5fw==" saltValue="JqdYhw258OpZolZNenzrZQ==" spinCount="100000" sheet="1" scenarios="1" insertHyperlinks="0"/>
  <mergeCells count="107">
    <mergeCell ref="A61:B61"/>
    <mergeCell ref="A62:B62"/>
    <mergeCell ref="M85:U85"/>
    <mergeCell ref="V85:W85"/>
    <mergeCell ref="M77:V77"/>
    <mergeCell ref="M78:U78"/>
    <mergeCell ref="M79:U79"/>
    <mergeCell ref="M80:U80"/>
    <mergeCell ref="M82:T82"/>
    <mergeCell ref="U83:V83"/>
    <mergeCell ref="M83:T83"/>
    <mergeCell ref="T84:V84"/>
    <mergeCell ref="M84:S84"/>
    <mergeCell ref="M38:U38"/>
    <mergeCell ref="M40:U40"/>
    <mergeCell ref="M39:U39"/>
    <mergeCell ref="C43:I43"/>
    <mergeCell ref="C44:I44"/>
    <mergeCell ref="M41:U41"/>
    <mergeCell ref="C45:I45"/>
    <mergeCell ref="M42:U42"/>
    <mergeCell ref="V86:W89"/>
    <mergeCell ref="M86:U89"/>
    <mergeCell ref="U81:V81"/>
    <mergeCell ref="U82:V82"/>
    <mergeCell ref="M81:T81"/>
    <mergeCell ref="C59:I59"/>
    <mergeCell ref="C60:I60"/>
    <mergeCell ref="C61:I61"/>
    <mergeCell ref="C62:I62"/>
    <mergeCell ref="M43:U43"/>
    <mergeCell ref="M44:U47"/>
    <mergeCell ref="C41:I41"/>
    <mergeCell ref="C42:I42"/>
    <mergeCell ref="V43:W43"/>
    <mergeCell ref="V44:W47"/>
    <mergeCell ref="C52:I52"/>
    <mergeCell ref="A37:B37"/>
    <mergeCell ref="C38:I38"/>
    <mergeCell ref="C39:I39"/>
    <mergeCell ref="C40:I40"/>
    <mergeCell ref="A38:B38"/>
    <mergeCell ref="A39:B39"/>
    <mergeCell ref="A40:B40"/>
    <mergeCell ref="A41:B41"/>
    <mergeCell ref="A42:B42"/>
    <mergeCell ref="A43:B43"/>
    <mergeCell ref="A44:B44"/>
    <mergeCell ref="A45:B45"/>
    <mergeCell ref="C46:I46"/>
    <mergeCell ref="C47:I47"/>
    <mergeCell ref="C48:I48"/>
    <mergeCell ref="C50:I50"/>
    <mergeCell ref="C49:I49"/>
    <mergeCell ref="A46:B46"/>
    <mergeCell ref="A47:B47"/>
    <mergeCell ref="A48:B48"/>
    <mergeCell ref="A50:B50"/>
    <mergeCell ref="A49:B49"/>
    <mergeCell ref="H2:L2"/>
    <mergeCell ref="H6:J6"/>
    <mergeCell ref="K36:K37"/>
    <mergeCell ref="A36:J36"/>
    <mergeCell ref="M10:W35"/>
    <mergeCell ref="A4:C4"/>
    <mergeCell ref="A5:C5"/>
    <mergeCell ref="D4:E4"/>
    <mergeCell ref="H4:J4"/>
    <mergeCell ref="H5:J5"/>
    <mergeCell ref="F2:F3"/>
    <mergeCell ref="M2:M3"/>
    <mergeCell ref="A3:C3"/>
    <mergeCell ref="H3:J3"/>
    <mergeCell ref="D3:E3"/>
    <mergeCell ref="K3:L3"/>
    <mergeCell ref="A2:E2"/>
    <mergeCell ref="A10:K35"/>
    <mergeCell ref="K4:L4"/>
    <mergeCell ref="K5:L5"/>
    <mergeCell ref="H7:J7"/>
    <mergeCell ref="H8:J8"/>
    <mergeCell ref="W36:W37"/>
    <mergeCell ref="M36:V36"/>
    <mergeCell ref="A56:B56"/>
    <mergeCell ref="A57:B57"/>
    <mergeCell ref="A58:B58"/>
    <mergeCell ref="A59:B59"/>
    <mergeCell ref="A60:B60"/>
    <mergeCell ref="A63:B63"/>
    <mergeCell ref="C63:I63"/>
    <mergeCell ref="C53:I53"/>
    <mergeCell ref="M49:W76"/>
    <mergeCell ref="C55:I55"/>
    <mergeCell ref="C56:I56"/>
    <mergeCell ref="C57:I57"/>
    <mergeCell ref="C58:I58"/>
    <mergeCell ref="A51:B51"/>
    <mergeCell ref="C51:I51"/>
    <mergeCell ref="A52:B52"/>
    <mergeCell ref="C54:I54"/>
    <mergeCell ref="A64:I64"/>
    <mergeCell ref="A65:I68"/>
    <mergeCell ref="J64:K64"/>
    <mergeCell ref="J65:K68"/>
    <mergeCell ref="A55:B55"/>
    <mergeCell ref="A53:B53"/>
    <mergeCell ref="A54:B54"/>
  </mergeCells>
  <conditionalFormatting sqref="M82:U83">
    <cfRule type="expression" dxfId="0" priority="2">
      <formula>$U$81="Team Built"</formula>
    </cfRule>
  </conditionalFormatting>
  <dataValidations count="6">
    <dataValidation type="list" allowBlank="1" showInputMessage="1" showErrorMessage="1" sqref="V78:V80 V42 V38:V40 J54:J63 J38:J41 J43:J52" xr:uid="{00000000-0002-0000-0600-000000000000}">
      <formula1>"TRUE,FALSE"</formula1>
    </dataValidation>
    <dataValidation type="list" allowBlank="1" showInputMessage="1" showErrorMessage="1" sqref="D4:E4" xr:uid="{00000000-0002-0000-0600-000001000000}">
      <formula1>"Bender IR155-3203,Bender IR155-3204,Bender iso165C-1,Bender iso175"</formula1>
    </dataValidation>
    <dataValidation type="list" allowBlank="1" showInputMessage="1" showErrorMessage="1" sqref="U81" xr:uid="{AEB9EAC2-E35D-4C25-B8A6-7B05D368D691}">
      <formula1>"Purchased, Team Built"</formula1>
    </dataValidation>
    <dataValidation type="list" allowBlank="1" showInputMessage="1" showErrorMessage="1" sqref="T84" xr:uid="{DB0D1E09-18B9-4F7A-B8CE-C8AAF2CFE82C}">
      <formula1>"Manufacturer approved,Team tested,No"</formula1>
    </dataValidation>
    <dataValidation type="list" allowBlank="1" showInputMessage="1" showErrorMessage="1" promptTitle="BSPD Schematic Symbols" prompt="Use standard schematic symbols for all BSPD circuitry._x000a_-Comparators and op-amps → proper triangle symbols_x000a_-Logic → proper gate symbols (AND, OR, NOT, etc.), not rectangles" sqref="V41" xr:uid="{9767CBDB-0334-468E-B81A-CAA5C4CF264E}">
      <formula1>"TRUE,FALSE"</formula1>
    </dataValidation>
    <dataValidation type="list" allowBlank="1" showInputMessage="1" showErrorMessage="1" sqref="J42 J53" xr:uid="{4BC19B0B-81CA-4DAE-A367-26CE9DA87DFF}">
      <formula1>"TRUE,FALSE,N/A"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44"/>
  <sheetViews>
    <sheetView zoomScaleNormal="100" workbookViewId="0"/>
  </sheetViews>
  <sheetFormatPr defaultColWidth="8.7109375" defaultRowHeight="13.5" x14ac:dyDescent="0.25"/>
  <cols>
    <col min="1" max="16384" width="8.7109375" style="2"/>
  </cols>
  <sheetData>
    <row r="1" spans="1:17" x14ac:dyDescent="0.25">
      <c r="A1" s="26" t="s">
        <v>1</v>
      </c>
      <c r="B1" s="12" t="str" cm="1">
        <f t="array" aca="1" ref="B1" ca="1">IF(SUM(COUNTIF(INDIRECT({"Charging!$F$2","Charging!$H$32","Charging!$Q$32"}), "="&amp;IncompleteText)), IncompleteText, IF(SUM(COUNTIF(INDIRECT({"Charging!$F$2","Charging!$H$32","Charging!$Q$32"}), "="&amp;ErrorText)), ErrorText, OKText))</f>
        <v>BLANK</v>
      </c>
    </row>
    <row r="2" spans="1:17" x14ac:dyDescent="0.25">
      <c r="A2" s="46" t="s">
        <v>193</v>
      </c>
      <c r="B2" s="46"/>
      <c r="C2" s="46"/>
      <c r="D2" s="46"/>
      <c r="E2" s="46"/>
      <c r="F2" s="12" t="str">
        <f>IF(COUNTIF(F3:F11, "="&amp;IncompleteText), IncompleteText, IF(COUNTIF(F3:F11, "="&amp;ErrorText), ErrorText, OKText))</f>
        <v>BLANK</v>
      </c>
      <c r="H2" s="46" t="s">
        <v>15</v>
      </c>
      <c r="I2" s="46"/>
      <c r="J2" s="46"/>
      <c r="K2" s="46"/>
      <c r="L2" s="46"/>
      <c r="M2" s="46"/>
      <c r="N2" s="46"/>
    </row>
    <row r="3" spans="1:17" x14ac:dyDescent="0.25">
      <c r="A3" s="83" t="s">
        <v>23</v>
      </c>
      <c r="B3" s="83"/>
      <c r="C3" s="85"/>
      <c r="D3" s="109"/>
      <c r="E3" s="110"/>
      <c r="F3" s="12" t="str">
        <f t="shared" ref="F3:F11" si="0">IF(ISBLANK(D3), IncompleteText, OKText)</f>
        <v>BLANK</v>
      </c>
      <c r="H3" s="71"/>
      <c r="I3" s="71"/>
      <c r="J3" s="71"/>
      <c r="K3" s="71"/>
      <c r="L3" s="71"/>
      <c r="M3" s="71"/>
      <c r="N3" s="71"/>
    </row>
    <row r="4" spans="1:17" x14ac:dyDescent="0.25">
      <c r="A4" s="83" t="s">
        <v>24</v>
      </c>
      <c r="B4" s="83"/>
      <c r="C4" s="83"/>
      <c r="D4" s="54"/>
      <c r="E4" s="54"/>
      <c r="F4" s="12" t="str">
        <f t="shared" si="0"/>
        <v>BLANK</v>
      </c>
      <c r="H4" s="74"/>
      <c r="I4" s="74"/>
      <c r="J4" s="74"/>
      <c r="K4" s="74"/>
      <c r="L4" s="74"/>
      <c r="M4" s="74"/>
      <c r="N4" s="74"/>
    </row>
    <row r="5" spans="1:17" x14ac:dyDescent="0.25">
      <c r="A5" s="83" t="s">
        <v>35</v>
      </c>
      <c r="B5" s="83"/>
      <c r="C5" s="85"/>
      <c r="D5" s="54"/>
      <c r="E5" s="54"/>
      <c r="F5" s="12" t="str">
        <f t="shared" si="0"/>
        <v>BLANK</v>
      </c>
      <c r="H5" s="74"/>
      <c r="I5" s="74"/>
      <c r="J5" s="74"/>
      <c r="K5" s="74"/>
      <c r="L5" s="74"/>
      <c r="M5" s="74"/>
      <c r="N5" s="74"/>
    </row>
    <row r="6" spans="1:17" x14ac:dyDescent="0.25">
      <c r="A6" s="83" t="s">
        <v>194</v>
      </c>
      <c r="B6" s="83"/>
      <c r="C6" s="85"/>
      <c r="D6" s="25"/>
      <c r="E6" s="27" t="s">
        <v>13</v>
      </c>
      <c r="F6" s="12" t="str">
        <f t="shared" si="0"/>
        <v>BLANK</v>
      </c>
      <c r="H6" s="74"/>
      <c r="I6" s="74"/>
      <c r="J6" s="74"/>
      <c r="K6" s="74"/>
      <c r="L6" s="74"/>
      <c r="M6" s="74"/>
      <c r="N6" s="74"/>
    </row>
    <row r="7" spans="1:17" x14ac:dyDescent="0.25">
      <c r="A7" s="83" t="s">
        <v>195</v>
      </c>
      <c r="B7" s="83"/>
      <c r="C7" s="85"/>
      <c r="D7" s="25"/>
      <c r="E7" s="27" t="s">
        <v>14</v>
      </c>
      <c r="F7" s="12" t="str">
        <f t="shared" si="0"/>
        <v>BLANK</v>
      </c>
      <c r="H7" s="74"/>
      <c r="I7" s="74"/>
      <c r="J7" s="74"/>
      <c r="K7" s="74"/>
      <c r="L7" s="74"/>
      <c r="M7" s="74"/>
      <c r="N7" s="74"/>
    </row>
    <row r="8" spans="1:17" x14ac:dyDescent="0.25">
      <c r="A8" s="83" t="s">
        <v>196</v>
      </c>
      <c r="B8" s="83"/>
      <c r="C8" s="85"/>
      <c r="D8" s="25"/>
      <c r="E8" s="27" t="s">
        <v>13</v>
      </c>
      <c r="F8" s="12" t="str">
        <f t="shared" si="0"/>
        <v>BLANK</v>
      </c>
      <c r="H8" s="74"/>
      <c r="I8" s="74"/>
      <c r="J8" s="74"/>
      <c r="K8" s="74"/>
      <c r="L8" s="74"/>
      <c r="M8" s="74"/>
      <c r="N8" s="74"/>
    </row>
    <row r="9" spans="1:17" x14ac:dyDescent="0.25">
      <c r="A9" s="83" t="s">
        <v>197</v>
      </c>
      <c r="B9" s="83"/>
      <c r="C9" s="85"/>
      <c r="D9" s="25"/>
      <c r="E9" s="27" t="s">
        <v>14</v>
      </c>
      <c r="F9" s="12" t="str">
        <f t="shared" si="0"/>
        <v>BLANK</v>
      </c>
      <c r="H9" s="74"/>
      <c r="I9" s="74"/>
      <c r="J9" s="74"/>
      <c r="K9" s="74"/>
      <c r="L9" s="74"/>
      <c r="M9" s="74"/>
      <c r="N9" s="74"/>
    </row>
    <row r="10" spans="1:17" x14ac:dyDescent="0.25">
      <c r="A10" s="83" t="s">
        <v>198</v>
      </c>
      <c r="B10" s="83"/>
      <c r="C10" s="85"/>
      <c r="D10" s="25"/>
      <c r="E10" s="27" t="s">
        <v>199</v>
      </c>
      <c r="F10" s="12" t="str">
        <f t="shared" si="0"/>
        <v>BLANK</v>
      </c>
      <c r="H10" s="74"/>
      <c r="I10" s="74"/>
      <c r="J10" s="74"/>
      <c r="K10" s="74"/>
      <c r="L10" s="74"/>
      <c r="M10" s="74"/>
      <c r="N10" s="74"/>
    </row>
    <row r="11" spans="1:17" x14ac:dyDescent="0.25">
      <c r="A11" s="83" t="s">
        <v>200</v>
      </c>
      <c r="B11" s="83"/>
      <c r="C11" s="85"/>
      <c r="D11" s="109"/>
      <c r="E11" s="110"/>
      <c r="F11" s="12" t="str">
        <f t="shared" si="0"/>
        <v>BLANK</v>
      </c>
    </row>
    <row r="13" spans="1:17" x14ac:dyDescent="0.25">
      <c r="A13" s="136" t="s">
        <v>201</v>
      </c>
      <c r="B13" s="136"/>
      <c r="C13" s="136"/>
      <c r="D13" s="136"/>
      <c r="E13" s="136"/>
      <c r="F13" s="136"/>
      <c r="G13" s="136"/>
      <c r="H13" s="136"/>
      <c r="J13" s="136" t="s">
        <v>202</v>
      </c>
      <c r="K13" s="136"/>
      <c r="L13" s="136"/>
      <c r="M13" s="136"/>
      <c r="N13" s="136"/>
      <c r="O13" s="136"/>
      <c r="P13" s="136"/>
      <c r="Q13" s="136"/>
    </row>
    <row r="14" spans="1:17" x14ac:dyDescent="0.25">
      <c r="A14" s="136"/>
      <c r="B14" s="136"/>
      <c r="C14" s="136"/>
      <c r="D14" s="136"/>
      <c r="E14" s="136"/>
      <c r="F14" s="136"/>
      <c r="G14" s="136"/>
      <c r="H14" s="136"/>
      <c r="J14" s="136"/>
      <c r="K14" s="136"/>
      <c r="L14" s="136"/>
      <c r="M14" s="136"/>
      <c r="N14" s="136"/>
      <c r="O14" s="136"/>
      <c r="P14" s="136"/>
      <c r="Q14" s="136"/>
    </row>
    <row r="15" spans="1:17" x14ac:dyDescent="0.25">
      <c r="A15" s="136"/>
      <c r="B15" s="136"/>
      <c r="C15" s="136"/>
      <c r="D15" s="136"/>
      <c r="E15" s="136"/>
      <c r="F15" s="136"/>
      <c r="G15" s="136"/>
      <c r="H15" s="136"/>
      <c r="J15" s="136"/>
      <c r="K15" s="136"/>
      <c r="L15" s="136"/>
      <c r="M15" s="136"/>
      <c r="N15" s="136"/>
      <c r="O15" s="136"/>
      <c r="P15" s="136"/>
      <c r="Q15" s="136"/>
    </row>
    <row r="16" spans="1:17" x14ac:dyDescent="0.25">
      <c r="A16" s="136"/>
      <c r="B16" s="136"/>
      <c r="C16" s="136"/>
      <c r="D16" s="136"/>
      <c r="E16" s="136"/>
      <c r="F16" s="136"/>
      <c r="G16" s="136"/>
      <c r="H16" s="136"/>
      <c r="J16" s="136"/>
      <c r="K16" s="136"/>
      <c r="L16" s="136"/>
      <c r="M16" s="136"/>
      <c r="N16" s="136"/>
      <c r="O16" s="136"/>
      <c r="P16" s="136"/>
      <c r="Q16" s="136"/>
    </row>
    <row r="17" spans="1:17" x14ac:dyDescent="0.25">
      <c r="A17" s="136"/>
      <c r="B17" s="136"/>
      <c r="C17" s="136"/>
      <c r="D17" s="136"/>
      <c r="E17" s="136"/>
      <c r="F17" s="136"/>
      <c r="G17" s="136"/>
      <c r="H17" s="136"/>
      <c r="J17" s="136"/>
      <c r="K17" s="136"/>
      <c r="L17" s="136"/>
      <c r="M17" s="136"/>
      <c r="N17" s="136"/>
      <c r="O17" s="136"/>
      <c r="P17" s="136"/>
      <c r="Q17" s="136"/>
    </row>
    <row r="18" spans="1:17" x14ac:dyDescent="0.25">
      <c r="A18" s="136"/>
      <c r="B18" s="136"/>
      <c r="C18" s="136"/>
      <c r="D18" s="136"/>
      <c r="E18" s="136"/>
      <c r="F18" s="136"/>
      <c r="G18" s="136"/>
      <c r="H18" s="136"/>
      <c r="J18" s="136"/>
      <c r="K18" s="136"/>
      <c r="L18" s="136"/>
      <c r="M18" s="136"/>
      <c r="N18" s="136"/>
      <c r="O18" s="136"/>
      <c r="P18" s="136"/>
      <c r="Q18" s="136"/>
    </row>
    <row r="19" spans="1:17" x14ac:dyDescent="0.25">
      <c r="A19" s="136"/>
      <c r="B19" s="136"/>
      <c r="C19" s="136"/>
      <c r="D19" s="136"/>
      <c r="E19" s="136"/>
      <c r="F19" s="136"/>
      <c r="G19" s="136"/>
      <c r="H19" s="136"/>
      <c r="J19" s="136"/>
      <c r="K19" s="136"/>
      <c r="L19" s="136"/>
      <c r="M19" s="136"/>
      <c r="N19" s="136"/>
      <c r="O19" s="136"/>
      <c r="P19" s="136"/>
      <c r="Q19" s="136"/>
    </row>
    <row r="20" spans="1:17" x14ac:dyDescent="0.25">
      <c r="A20" s="136"/>
      <c r="B20" s="136"/>
      <c r="C20" s="136"/>
      <c r="D20" s="136"/>
      <c r="E20" s="136"/>
      <c r="F20" s="136"/>
      <c r="G20" s="136"/>
      <c r="H20" s="136"/>
      <c r="J20" s="136"/>
      <c r="K20" s="136"/>
      <c r="L20" s="136"/>
      <c r="M20" s="136"/>
      <c r="N20" s="136"/>
      <c r="O20" s="136"/>
      <c r="P20" s="136"/>
      <c r="Q20" s="136"/>
    </row>
    <row r="21" spans="1:17" x14ac:dyDescent="0.25">
      <c r="A21" s="136"/>
      <c r="B21" s="136"/>
      <c r="C21" s="136"/>
      <c r="D21" s="136"/>
      <c r="E21" s="136"/>
      <c r="F21" s="136"/>
      <c r="G21" s="136"/>
      <c r="H21" s="136"/>
      <c r="J21" s="136"/>
      <c r="K21" s="136"/>
      <c r="L21" s="136"/>
      <c r="M21" s="136"/>
      <c r="N21" s="136"/>
      <c r="O21" s="136"/>
      <c r="P21" s="136"/>
      <c r="Q21" s="136"/>
    </row>
    <row r="22" spans="1:17" x14ac:dyDescent="0.25">
      <c r="A22" s="136"/>
      <c r="B22" s="136"/>
      <c r="C22" s="136"/>
      <c r="D22" s="136"/>
      <c r="E22" s="136"/>
      <c r="F22" s="136"/>
      <c r="G22" s="136"/>
      <c r="H22" s="136"/>
      <c r="J22" s="136"/>
      <c r="K22" s="136"/>
      <c r="L22" s="136"/>
      <c r="M22" s="136"/>
      <c r="N22" s="136"/>
      <c r="O22" s="136"/>
      <c r="P22" s="136"/>
      <c r="Q22" s="136"/>
    </row>
    <row r="23" spans="1:17" x14ac:dyDescent="0.25">
      <c r="A23" s="136"/>
      <c r="B23" s="136"/>
      <c r="C23" s="136"/>
      <c r="D23" s="136"/>
      <c r="E23" s="136"/>
      <c r="F23" s="136"/>
      <c r="G23" s="136"/>
      <c r="H23" s="136"/>
      <c r="J23" s="136"/>
      <c r="K23" s="136"/>
      <c r="L23" s="136"/>
      <c r="M23" s="136"/>
      <c r="N23" s="136"/>
      <c r="O23" s="136"/>
      <c r="P23" s="136"/>
      <c r="Q23" s="136"/>
    </row>
    <row r="24" spans="1:17" x14ac:dyDescent="0.25">
      <c r="A24" s="136"/>
      <c r="B24" s="136"/>
      <c r="C24" s="136"/>
      <c r="D24" s="136"/>
      <c r="E24" s="136"/>
      <c r="F24" s="136"/>
      <c r="G24" s="136"/>
      <c r="H24" s="136"/>
      <c r="J24" s="136"/>
      <c r="K24" s="136"/>
      <c r="L24" s="136"/>
      <c r="M24" s="136"/>
      <c r="N24" s="136"/>
      <c r="O24" s="136"/>
      <c r="P24" s="136"/>
      <c r="Q24" s="136"/>
    </row>
    <row r="25" spans="1:17" x14ac:dyDescent="0.25">
      <c r="A25" s="136"/>
      <c r="B25" s="136"/>
      <c r="C25" s="136"/>
      <c r="D25" s="136"/>
      <c r="E25" s="136"/>
      <c r="F25" s="136"/>
      <c r="G25" s="136"/>
      <c r="H25" s="136"/>
      <c r="J25" s="136"/>
      <c r="K25" s="136"/>
      <c r="L25" s="136"/>
      <c r="M25" s="136"/>
      <c r="N25" s="136"/>
      <c r="O25" s="136"/>
      <c r="P25" s="136"/>
      <c r="Q25" s="136"/>
    </row>
    <row r="26" spans="1:17" x14ac:dyDescent="0.25">
      <c r="A26" s="136"/>
      <c r="B26" s="136"/>
      <c r="C26" s="136"/>
      <c r="D26" s="136"/>
      <c r="E26" s="136"/>
      <c r="F26" s="136"/>
      <c r="G26" s="136"/>
      <c r="H26" s="136"/>
      <c r="J26" s="136"/>
      <c r="K26" s="136"/>
      <c r="L26" s="136"/>
      <c r="M26" s="136"/>
      <c r="N26" s="136"/>
      <c r="O26" s="136"/>
      <c r="P26" s="136"/>
      <c r="Q26" s="136"/>
    </row>
    <row r="27" spans="1:17" x14ac:dyDescent="0.25">
      <c r="A27" s="136"/>
      <c r="B27" s="136"/>
      <c r="C27" s="136"/>
      <c r="D27" s="136"/>
      <c r="E27" s="136"/>
      <c r="F27" s="136"/>
      <c r="G27" s="136"/>
      <c r="H27" s="136"/>
      <c r="J27" s="136"/>
      <c r="K27" s="136"/>
      <c r="L27" s="136"/>
      <c r="M27" s="136"/>
      <c r="N27" s="136"/>
      <c r="O27" s="136"/>
      <c r="P27" s="136"/>
      <c r="Q27" s="136"/>
    </row>
    <row r="28" spans="1:17" x14ac:dyDescent="0.25">
      <c r="A28" s="136"/>
      <c r="B28" s="136"/>
      <c r="C28" s="136"/>
      <c r="D28" s="136"/>
      <c r="E28" s="136"/>
      <c r="F28" s="136"/>
      <c r="G28" s="136"/>
      <c r="H28" s="136"/>
      <c r="J28" s="136"/>
      <c r="K28" s="136"/>
      <c r="L28" s="136"/>
      <c r="M28" s="136"/>
      <c r="N28" s="136"/>
      <c r="O28" s="136"/>
      <c r="P28" s="136"/>
      <c r="Q28" s="136"/>
    </row>
    <row r="29" spans="1:17" x14ac:dyDescent="0.25">
      <c r="A29" s="136"/>
      <c r="B29" s="136"/>
      <c r="C29" s="136"/>
      <c r="D29" s="136"/>
      <c r="E29" s="136"/>
      <c r="F29" s="136"/>
      <c r="G29" s="136"/>
      <c r="H29" s="136"/>
      <c r="J29" s="136"/>
      <c r="K29" s="136"/>
      <c r="L29" s="136"/>
      <c r="M29" s="136"/>
      <c r="N29" s="136"/>
      <c r="O29" s="136"/>
      <c r="P29" s="136"/>
      <c r="Q29" s="136"/>
    </row>
    <row r="30" spans="1:17" x14ac:dyDescent="0.25">
      <c r="A30" s="136"/>
      <c r="B30" s="136"/>
      <c r="C30" s="136"/>
      <c r="D30" s="136"/>
      <c r="E30" s="136"/>
      <c r="F30" s="136"/>
      <c r="G30" s="136"/>
      <c r="H30" s="136"/>
      <c r="J30" s="136"/>
      <c r="K30" s="136"/>
      <c r="L30" s="136"/>
      <c r="M30" s="136"/>
      <c r="N30" s="136"/>
      <c r="O30" s="136"/>
      <c r="P30" s="136"/>
      <c r="Q30" s="136"/>
    </row>
    <row r="31" spans="1:17" x14ac:dyDescent="0.25">
      <c r="A31" s="136"/>
      <c r="B31" s="136"/>
      <c r="C31" s="136"/>
      <c r="D31" s="136"/>
      <c r="E31" s="136"/>
      <c r="F31" s="136"/>
      <c r="G31" s="136"/>
      <c r="H31" s="136"/>
      <c r="J31" s="136"/>
      <c r="K31" s="136"/>
      <c r="L31" s="136"/>
      <c r="M31" s="136"/>
      <c r="N31" s="136"/>
      <c r="O31" s="136"/>
      <c r="P31" s="136"/>
      <c r="Q31" s="136"/>
    </row>
    <row r="32" spans="1:17" x14ac:dyDescent="0.25">
      <c r="A32" s="46" t="s">
        <v>203</v>
      </c>
      <c r="B32" s="46"/>
      <c r="C32" s="46"/>
      <c r="D32" s="46"/>
      <c r="E32" s="46"/>
      <c r="F32" s="46"/>
      <c r="G32" s="46"/>
      <c r="H32" s="102" t="str">
        <f>IF(COUNTIF(H34:H39, "="&amp;IncompleteText), IncompleteText, IF(COUNTIF(H34:H39, "="&amp;ErrorText), ErrorText, OKText))</f>
        <v>BLANK</v>
      </c>
      <c r="J32" s="46" t="s">
        <v>308</v>
      </c>
      <c r="K32" s="46"/>
      <c r="L32" s="46"/>
      <c r="M32" s="46"/>
      <c r="N32" s="46"/>
      <c r="O32" s="46"/>
      <c r="P32" s="46"/>
      <c r="Q32" s="102" t="str">
        <f>IF(COUNTIF(Q34:Q39, "="&amp;IncompleteText), IncompleteText, IF(COUNTIF(Q34:Q39, "="&amp;ErrorText), ErrorText, OKText))</f>
        <v>BLANK</v>
      </c>
    </row>
    <row r="33" spans="1:17" x14ac:dyDescent="0.25">
      <c r="A33" s="104" t="s">
        <v>45</v>
      </c>
      <c r="B33" s="153"/>
      <c r="C33" s="22"/>
      <c r="D33" s="22"/>
      <c r="E33" s="22"/>
      <c r="F33" s="22"/>
      <c r="G33" s="22"/>
      <c r="H33" s="103"/>
      <c r="J33" s="104" t="s">
        <v>45</v>
      </c>
      <c r="K33" s="153"/>
      <c r="L33" s="22"/>
      <c r="M33" s="22"/>
      <c r="N33" s="22"/>
      <c r="O33" s="22"/>
      <c r="P33" s="22"/>
      <c r="Q33" s="103"/>
    </row>
    <row r="34" spans="1:17" x14ac:dyDescent="0.25">
      <c r="A34" s="100" t="s">
        <v>268</v>
      </c>
      <c r="B34" s="100"/>
      <c r="C34" s="83" t="s">
        <v>204</v>
      </c>
      <c r="D34" s="83"/>
      <c r="E34" s="83"/>
      <c r="F34" s="85"/>
      <c r="G34" s="3"/>
      <c r="H34" s="12" t="str">
        <f t="shared" ref="H34:H39" si="1">IF(ISBLANK(G34),IncompleteText, IF(G34, OKText, ErrorText))</f>
        <v>BLANK</v>
      </c>
      <c r="J34" s="100" t="s">
        <v>398</v>
      </c>
      <c r="K34" s="100"/>
      <c r="L34" s="83" t="s">
        <v>205</v>
      </c>
      <c r="M34" s="83"/>
      <c r="N34" s="83"/>
      <c r="O34" s="85"/>
      <c r="P34" s="3"/>
      <c r="Q34" s="12" t="str">
        <f t="shared" ref="Q34:Q39" si="2">IF(ISBLANK(P34),IncompleteText, IF(P34, OKText, ErrorText))</f>
        <v>BLANK</v>
      </c>
    </row>
    <row r="35" spans="1:17" x14ac:dyDescent="0.25">
      <c r="A35" s="100"/>
      <c r="B35" s="100"/>
      <c r="C35" s="83" t="s">
        <v>59</v>
      </c>
      <c r="D35" s="83"/>
      <c r="E35" s="83"/>
      <c r="F35" s="85"/>
      <c r="G35" s="3"/>
      <c r="H35" s="12" t="str">
        <f t="shared" si="1"/>
        <v>BLANK</v>
      </c>
      <c r="J35" s="100" t="s">
        <v>398</v>
      </c>
      <c r="K35" s="100"/>
      <c r="L35" s="83" t="s">
        <v>89</v>
      </c>
      <c r="M35" s="83"/>
      <c r="N35" s="83"/>
      <c r="O35" s="85"/>
      <c r="P35" s="3"/>
      <c r="Q35" s="12" t="str">
        <f t="shared" si="2"/>
        <v>BLANK</v>
      </c>
    </row>
    <row r="36" spans="1:17" x14ac:dyDescent="0.25">
      <c r="A36" s="100"/>
      <c r="B36" s="100"/>
      <c r="C36" s="83" t="s">
        <v>206</v>
      </c>
      <c r="D36" s="83"/>
      <c r="E36" s="83"/>
      <c r="F36" s="85"/>
      <c r="G36" s="3"/>
      <c r="H36" s="12" t="str">
        <f t="shared" si="1"/>
        <v>BLANK</v>
      </c>
      <c r="J36" s="100" t="s">
        <v>399</v>
      </c>
      <c r="K36" s="100"/>
      <c r="L36" s="83" t="s">
        <v>337</v>
      </c>
      <c r="M36" s="83"/>
      <c r="N36" s="83"/>
      <c r="O36" s="85"/>
      <c r="P36" s="3"/>
      <c r="Q36" s="12" t="str">
        <f t="shared" si="2"/>
        <v>BLANK</v>
      </c>
    </row>
    <row r="37" spans="1:17" x14ac:dyDescent="0.25">
      <c r="A37" s="100" t="s">
        <v>395</v>
      </c>
      <c r="B37" s="100"/>
      <c r="C37" s="83" t="s">
        <v>82</v>
      </c>
      <c r="D37" s="83"/>
      <c r="E37" s="83"/>
      <c r="F37" s="85"/>
      <c r="G37" s="3"/>
      <c r="H37" s="12" t="str">
        <f t="shared" si="1"/>
        <v>BLANK</v>
      </c>
      <c r="J37" s="100" t="s">
        <v>400</v>
      </c>
      <c r="K37" s="100"/>
      <c r="L37" s="83" t="s">
        <v>283</v>
      </c>
      <c r="M37" s="83"/>
      <c r="N37" s="83"/>
      <c r="O37" s="85"/>
      <c r="P37" s="3"/>
      <c r="Q37" s="12" t="str">
        <f t="shared" si="2"/>
        <v>BLANK</v>
      </c>
    </row>
    <row r="38" spans="1:17" x14ac:dyDescent="0.25">
      <c r="A38" s="100" t="s">
        <v>396</v>
      </c>
      <c r="B38" s="100"/>
      <c r="C38" s="83" t="s">
        <v>283</v>
      </c>
      <c r="D38" s="83"/>
      <c r="E38" s="83"/>
      <c r="F38" s="85"/>
      <c r="G38" s="3"/>
      <c r="H38" s="12" t="str">
        <f t="shared" si="1"/>
        <v>BLANK</v>
      </c>
      <c r="J38" s="100" t="s">
        <v>401</v>
      </c>
      <c r="K38" s="100"/>
      <c r="L38" s="83" t="s">
        <v>207</v>
      </c>
      <c r="M38" s="83"/>
      <c r="N38" s="83"/>
      <c r="O38" s="85"/>
      <c r="P38" s="3"/>
      <c r="Q38" s="12" t="str">
        <f t="shared" si="2"/>
        <v>BLANK</v>
      </c>
    </row>
    <row r="39" spans="1:17" x14ac:dyDescent="0.25">
      <c r="A39" s="100" t="s">
        <v>397</v>
      </c>
      <c r="B39" s="100"/>
      <c r="C39" s="83" t="s">
        <v>76</v>
      </c>
      <c r="D39" s="83"/>
      <c r="E39" s="83"/>
      <c r="F39" s="85"/>
      <c r="G39" s="3"/>
      <c r="H39" s="12" t="str">
        <f t="shared" si="1"/>
        <v>BLANK</v>
      </c>
      <c r="J39" s="171" t="s">
        <v>402</v>
      </c>
      <c r="K39" s="171"/>
      <c r="L39" s="83" t="s">
        <v>208</v>
      </c>
      <c r="M39" s="83"/>
      <c r="N39" s="83"/>
      <c r="O39" s="85"/>
      <c r="P39" s="3"/>
      <c r="Q39" s="12" t="str">
        <f t="shared" si="2"/>
        <v>BLANK</v>
      </c>
    </row>
    <row r="40" spans="1:17" x14ac:dyDescent="0.25">
      <c r="A40" s="46" t="s">
        <v>15</v>
      </c>
      <c r="B40" s="46"/>
      <c r="C40" s="46"/>
      <c r="D40" s="46"/>
      <c r="E40" s="46"/>
      <c r="F40" s="46"/>
      <c r="G40" s="46"/>
      <c r="J40" s="46" t="s">
        <v>15</v>
      </c>
      <c r="K40" s="46"/>
      <c r="L40" s="46"/>
      <c r="M40" s="46"/>
      <c r="N40" s="46"/>
      <c r="O40" s="46"/>
      <c r="P40" s="46"/>
    </row>
    <row r="41" spans="1:17" x14ac:dyDescent="0.25">
      <c r="A41" s="134"/>
      <c r="B41" s="134"/>
      <c r="C41" s="134"/>
      <c r="D41" s="134"/>
      <c r="E41" s="134"/>
      <c r="F41" s="134"/>
      <c r="G41" s="134"/>
      <c r="J41" s="134"/>
      <c r="K41" s="134"/>
      <c r="L41" s="134"/>
      <c r="M41" s="134"/>
      <c r="N41" s="134"/>
      <c r="O41" s="134"/>
      <c r="P41" s="134"/>
    </row>
    <row r="42" spans="1:17" x14ac:dyDescent="0.25">
      <c r="A42" s="134"/>
      <c r="B42" s="134"/>
      <c r="C42" s="134"/>
      <c r="D42" s="134"/>
      <c r="E42" s="134"/>
      <c r="F42" s="134"/>
      <c r="G42" s="134"/>
      <c r="J42" s="134"/>
      <c r="K42" s="134"/>
      <c r="L42" s="134"/>
      <c r="M42" s="134"/>
      <c r="N42" s="134"/>
      <c r="O42" s="134"/>
      <c r="P42" s="134"/>
    </row>
    <row r="43" spans="1:17" x14ac:dyDescent="0.25">
      <c r="A43" s="134"/>
      <c r="B43" s="134"/>
      <c r="C43" s="134"/>
      <c r="D43" s="134"/>
      <c r="E43" s="134"/>
      <c r="F43" s="134"/>
      <c r="G43" s="134"/>
      <c r="J43" s="134"/>
      <c r="K43" s="134"/>
      <c r="L43" s="134"/>
      <c r="M43" s="134"/>
      <c r="N43" s="134"/>
      <c r="O43" s="134"/>
      <c r="P43" s="134"/>
    </row>
    <row r="44" spans="1:17" x14ac:dyDescent="0.25">
      <c r="A44" s="134"/>
      <c r="B44" s="134"/>
      <c r="C44" s="134"/>
      <c r="D44" s="134"/>
      <c r="E44" s="134"/>
      <c r="F44" s="134"/>
      <c r="G44" s="134"/>
      <c r="J44" s="134"/>
      <c r="K44" s="134"/>
      <c r="L44" s="134"/>
      <c r="M44" s="134"/>
      <c r="N44" s="134"/>
      <c r="O44" s="134"/>
      <c r="P44" s="134"/>
    </row>
  </sheetData>
  <sheetProtection algorithmName="SHA-512" hashValue="cixeIbHZlS9ojl4RypuLBwVLxH4oZ7wpjusCkjUt57wlW/5XcOkXK68SBpVGoF8oS/OJLIRX78teVkay87bVlw==" saltValue="2vbpSThn+SI/orlqq0FUAg==" spinCount="100000" sheet="1" scenarios="1" insertHyperlinks="0"/>
  <mergeCells count="52">
    <mergeCell ref="L39:O39"/>
    <mergeCell ref="J33:K33"/>
    <mergeCell ref="C34:F34"/>
    <mergeCell ref="C36:F36"/>
    <mergeCell ref="Q32:Q33"/>
    <mergeCell ref="L34:O34"/>
    <mergeCell ref="L35:O35"/>
    <mergeCell ref="L36:O36"/>
    <mergeCell ref="L37:O37"/>
    <mergeCell ref="L38:O38"/>
    <mergeCell ref="A39:B39"/>
    <mergeCell ref="C39:F39"/>
    <mergeCell ref="J34:K34"/>
    <mergeCell ref="J35:K35"/>
    <mergeCell ref="J36:K36"/>
    <mergeCell ref="J37:K37"/>
    <mergeCell ref="C37:F37"/>
    <mergeCell ref="C38:F38"/>
    <mergeCell ref="A34:B34"/>
    <mergeCell ref="A35:B35"/>
    <mergeCell ref="A36:B36"/>
    <mergeCell ref="A37:B37"/>
    <mergeCell ref="A38:B38"/>
    <mergeCell ref="J38:K38"/>
    <mergeCell ref="J39:K39"/>
    <mergeCell ref="C35:F35"/>
    <mergeCell ref="H2:N2"/>
    <mergeCell ref="A2:E2"/>
    <mergeCell ref="A32:G32"/>
    <mergeCell ref="A6:C6"/>
    <mergeCell ref="A7:C7"/>
    <mergeCell ref="A8:C8"/>
    <mergeCell ref="A9:C9"/>
    <mergeCell ref="A10:C10"/>
    <mergeCell ref="H32:H33"/>
    <mergeCell ref="A33:B33"/>
    <mergeCell ref="A40:G40"/>
    <mergeCell ref="J40:P40"/>
    <mergeCell ref="A41:G44"/>
    <mergeCell ref="J41:P44"/>
    <mergeCell ref="H3:N10"/>
    <mergeCell ref="J13:Q31"/>
    <mergeCell ref="J32:P32"/>
    <mergeCell ref="A3:C3"/>
    <mergeCell ref="D3:E3"/>
    <mergeCell ref="A4:C4"/>
    <mergeCell ref="A11:C11"/>
    <mergeCell ref="A5:C5"/>
    <mergeCell ref="D4:E4"/>
    <mergeCell ref="D5:E5"/>
    <mergeCell ref="D11:E11"/>
    <mergeCell ref="A13:H31"/>
  </mergeCells>
  <dataValidations disablePrompts="1" count="1">
    <dataValidation type="list" allowBlank="1" showInputMessage="1" showErrorMessage="1" sqref="G34:G39 P34:P39" xr:uid="{00000000-0002-0000-0500-000000000000}">
      <formula1>"TRUE,FALSE"</formula1>
    </dataValidation>
  </dataValidations>
  <pageMargins left="0.7" right="0.7" top="0.75" bottom="0.75" header="0.3" footer="0.3"/>
  <pageSetup orientation="portrait" cellComments="atEnd" r:id="rId1"/>
  <headerFooter>
    <oddFooter>&amp;R&amp;1#&amp;"Calibri"&amp;10&amp;KFF0000Public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131"/>
  <sheetViews>
    <sheetView zoomScaleNormal="100" workbookViewId="0"/>
  </sheetViews>
  <sheetFormatPr defaultColWidth="8.7109375" defaultRowHeight="13.5" x14ac:dyDescent="0.25"/>
  <cols>
    <col min="1" max="10" width="8.7109375" style="2"/>
    <col min="11" max="11" width="13.640625" style="2" bestFit="1" customWidth="1"/>
    <col min="12" max="12" width="12.640625" style="2" customWidth="1"/>
    <col min="13" max="16384" width="8.7109375" style="2"/>
  </cols>
  <sheetData>
    <row r="1" spans="1:24" ht="13.75" x14ac:dyDescent="0.25">
      <c r="A1" s="26" t="s">
        <v>1</v>
      </c>
      <c r="B1" s="12" t="str">
        <f ca="1">IF(SUM(COUNTIF(INDIRECT({"'Torque Security'!$F$2","'Torque Security'!$S$2"}), "="&amp;IncompleteText)), IncompleteText, IF(SUM(COUNTIF(INDIRECT({"'Torque Security'!$F$2","'Torque Security'!$S$2"}), "="&amp;ErrorText)), ErrorText, OKText))</f>
        <v>BLANK</v>
      </c>
    </row>
    <row r="2" spans="1:24" x14ac:dyDescent="0.25">
      <c r="A2" s="46" t="s">
        <v>239</v>
      </c>
      <c r="B2" s="46"/>
      <c r="C2" s="46"/>
      <c r="D2" s="46"/>
      <c r="E2" s="46"/>
      <c r="F2" s="103" t="str">
        <f>IF(COUNTIF(F4:F11, "="&amp;IncompleteText), IncompleteText, IF(COUNTIF(F4:F11, "="&amp;ErrorText), ErrorText, OKText))</f>
        <v>BLANK</v>
      </c>
      <c r="H2" s="46" t="s">
        <v>240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103" t="str">
        <f>IF(COUNTIF(S6:S11, "="&amp;IncompleteText), IncompleteText, IF(COUNTIF(S6:S11, "="&amp;ErrorText), ErrorText, OKText))</f>
        <v>BLANK</v>
      </c>
    </row>
    <row r="3" spans="1:24" x14ac:dyDescent="0.25">
      <c r="A3" s="104" t="s">
        <v>210</v>
      </c>
      <c r="B3" s="105"/>
      <c r="C3" s="166" t="s">
        <v>241</v>
      </c>
      <c r="D3" s="180"/>
      <c r="E3" s="167"/>
      <c r="F3" s="103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03"/>
    </row>
    <row r="4" spans="1:24" x14ac:dyDescent="0.25">
      <c r="A4" s="172" t="s">
        <v>366</v>
      </c>
      <c r="B4" s="172"/>
      <c r="C4" s="172"/>
      <c r="D4" s="172"/>
      <c r="E4" s="172"/>
      <c r="F4" s="40" t="str">
        <f>IF(COUNTIF(F6:F11, "="&amp;IncompleteText), "",IF(MIN(D51:D131,G51:G131)&gt;=0.1,OKText,ErrorText))</f>
        <v/>
      </c>
      <c r="H4" s="91" t="s">
        <v>245</v>
      </c>
      <c r="I4" s="91"/>
      <c r="J4" s="91" t="s">
        <v>246</v>
      </c>
      <c r="K4" s="91"/>
      <c r="L4" s="173" t="s">
        <v>247</v>
      </c>
      <c r="M4" s="173" t="s">
        <v>248</v>
      </c>
      <c r="N4" s="91" t="s">
        <v>249</v>
      </c>
      <c r="O4" s="175" t="s">
        <v>250</v>
      </c>
      <c r="P4" s="177" t="s">
        <v>251</v>
      </c>
      <c r="Q4" s="91" t="s">
        <v>252</v>
      </c>
      <c r="R4" s="91" t="s">
        <v>8</v>
      </c>
      <c r="T4" s="90" t="s">
        <v>15</v>
      </c>
      <c r="U4" s="90"/>
      <c r="V4" s="90"/>
      <c r="W4" s="90"/>
      <c r="X4" s="90"/>
    </row>
    <row r="5" spans="1:24" x14ac:dyDescent="0.25">
      <c r="A5" t="s">
        <v>242</v>
      </c>
      <c r="B5" s="90" t="s">
        <v>243</v>
      </c>
      <c r="C5" s="90"/>
      <c r="D5" s="90" t="s">
        <v>244</v>
      </c>
      <c r="E5" s="90"/>
      <c r="H5" s="91"/>
      <c r="I5" s="91"/>
      <c r="J5" s="82"/>
      <c r="K5" s="82"/>
      <c r="L5" s="174"/>
      <c r="M5" s="174"/>
      <c r="N5" s="82"/>
      <c r="O5" s="176"/>
      <c r="P5" s="178"/>
      <c r="Q5" s="82"/>
      <c r="R5" s="82"/>
      <c r="T5" s="179"/>
      <c r="U5" s="179"/>
      <c r="V5" s="179"/>
      <c r="W5" s="179"/>
      <c r="X5" s="179"/>
    </row>
    <row r="6" spans="1:24" ht="13.75" x14ac:dyDescent="0.25">
      <c r="A6" s="7">
        <v>0</v>
      </c>
      <c r="B6" s="86"/>
      <c r="C6" s="86"/>
      <c r="D6" s="86"/>
      <c r="E6" s="86"/>
      <c r="F6" s="12" t="str">
        <f>IF(OR(ISBLANK(B6),ISBLANK(D6)), IncompleteText, OKText)</f>
        <v>BLANK</v>
      </c>
      <c r="H6" s="100" t="s">
        <v>253</v>
      </c>
      <c r="I6" s="100"/>
      <c r="J6" s="54"/>
      <c r="K6" s="54"/>
      <c r="L6" s="29"/>
      <c r="M6" s="29"/>
      <c r="N6" s="29"/>
      <c r="O6" s="29"/>
      <c r="P6" s="29"/>
      <c r="Q6" s="29"/>
      <c r="R6" s="25"/>
      <c r="S6" s="12" t="str">
        <f>IF(COUNTBLANK(J6:L6)&gt;1, IncompleteText, OKText)</f>
        <v>BLANK</v>
      </c>
      <c r="T6" s="54"/>
      <c r="U6" s="54"/>
      <c r="V6" s="54"/>
      <c r="W6" s="54"/>
      <c r="X6" s="54"/>
    </row>
    <row r="7" spans="1:24" ht="13.75" x14ac:dyDescent="0.25">
      <c r="A7" s="7">
        <v>0.2</v>
      </c>
      <c r="B7" s="86"/>
      <c r="C7" s="86"/>
      <c r="D7" s="86"/>
      <c r="E7" s="86"/>
      <c r="F7" s="12" t="str">
        <f>IF(OR(ISBLANK(B7),ISBLANK(D7)),IncompleteText,IF(OR(AND(_xlfn.XOR(B7&lt;D7,B6&lt;D6),B6&lt;&gt;D6),B7=D7),ErrorText,OKText))</f>
        <v>BLANK</v>
      </c>
      <c r="H7" s="54" t="str">
        <f>IF(ISBLANK(J6),"",J6)</f>
        <v/>
      </c>
      <c r="I7" s="54"/>
      <c r="J7" s="54"/>
      <c r="K7" s="54"/>
      <c r="L7" s="29"/>
      <c r="M7" s="29"/>
      <c r="N7" s="29"/>
      <c r="O7" s="29"/>
      <c r="P7" s="29"/>
      <c r="Q7" s="29"/>
      <c r="R7" s="25"/>
      <c r="S7" s="12" t="str">
        <f>IF(ISBLANK(J7), "", IF(ISBLANK(L7), IncompleteText, OKText))</f>
        <v/>
      </c>
      <c r="T7" s="54"/>
      <c r="U7" s="54"/>
      <c r="V7" s="54"/>
      <c r="W7" s="54"/>
      <c r="X7" s="54"/>
    </row>
    <row r="8" spans="1:24" ht="13.75" x14ac:dyDescent="0.25">
      <c r="A8" s="7">
        <v>0.4</v>
      </c>
      <c r="B8" s="86"/>
      <c r="C8" s="86"/>
      <c r="D8" s="86"/>
      <c r="E8" s="86"/>
      <c r="F8" s="12" t="str">
        <f>IF(OR(ISBLANK(B8),ISBLANK(D8)), IncompleteText, IF(OR(_xlfn.XOR(B8&lt;D8,B7&lt;D7),B8=D8), ErrorText, OKText))</f>
        <v>BLANK</v>
      </c>
      <c r="H8" s="54" t="str">
        <f>IF(ISBLANK(J7),"",J7)</f>
        <v/>
      </c>
      <c r="I8" s="54"/>
      <c r="J8" s="54"/>
      <c r="K8" s="54"/>
      <c r="L8" s="29"/>
      <c r="M8" s="29"/>
      <c r="N8" s="29"/>
      <c r="O8" s="29"/>
      <c r="P8" s="29"/>
      <c r="Q8" s="29"/>
      <c r="R8" s="25"/>
      <c r="S8" s="12" t="str">
        <f>IF(ISBLANK(J8), "", IF(ISBLANK(L8), IncompleteText, OKText))</f>
        <v/>
      </c>
      <c r="T8" s="54"/>
      <c r="U8" s="54"/>
      <c r="V8" s="54"/>
      <c r="W8" s="54"/>
      <c r="X8" s="54"/>
    </row>
    <row r="9" spans="1:24" ht="13.75" x14ac:dyDescent="0.25">
      <c r="A9" s="7">
        <v>0.6</v>
      </c>
      <c r="B9" s="86"/>
      <c r="C9" s="86"/>
      <c r="D9" s="86"/>
      <c r="E9" s="86"/>
      <c r="F9" s="12" t="str">
        <f>IF(OR(ISBLANK(B9),ISBLANK(D9)), IncompleteText, IF(OR(_xlfn.XOR(B9&lt;D9,B8&lt;D8),B9=D9), ErrorText, OKText))</f>
        <v>BLANK</v>
      </c>
      <c r="H9" s="54" t="str">
        <f>IF(ISBLANK(J8),"",J8)</f>
        <v/>
      </c>
      <c r="I9" s="54"/>
      <c r="J9" s="54"/>
      <c r="K9" s="54"/>
      <c r="L9" s="29"/>
      <c r="M9" s="29"/>
      <c r="N9" s="29"/>
      <c r="O9" s="29"/>
      <c r="P9" s="29"/>
      <c r="Q9" s="29"/>
      <c r="R9" s="25"/>
      <c r="S9" s="12" t="str">
        <f>IF(ISBLANK(J9), "", IF(ISBLANK(L9), IncompleteText, OKText))</f>
        <v/>
      </c>
      <c r="T9" s="54"/>
      <c r="U9" s="54"/>
      <c r="V9" s="54"/>
      <c r="W9" s="54"/>
      <c r="X9" s="54"/>
    </row>
    <row r="10" spans="1:24" x14ac:dyDescent="0.25">
      <c r="A10" s="7">
        <v>0.8</v>
      </c>
      <c r="B10" s="86"/>
      <c r="C10" s="86"/>
      <c r="D10" s="86"/>
      <c r="E10" s="86"/>
      <c r="F10" s="12" t="str">
        <f>IF(OR(ISBLANK(B10),ISBLANK(D10)), IncompleteText, IF(OR(_xlfn.XOR(B10&lt;D10,B9&lt;D9),B10=D10), ErrorText, OKText))</f>
        <v>BLANK</v>
      </c>
      <c r="H10" s="54" t="str">
        <f>IF(ISBLANK(J9),"",J9)</f>
        <v/>
      </c>
      <c r="I10" s="54"/>
      <c r="J10" s="54"/>
      <c r="K10" s="54"/>
      <c r="L10" s="29"/>
      <c r="M10" s="29"/>
      <c r="N10" s="29"/>
      <c r="O10" s="29"/>
      <c r="P10" s="29"/>
      <c r="Q10" s="29"/>
      <c r="R10" s="25"/>
      <c r="S10" s="12" t="str">
        <f>IF(ISBLANK(J10), "", IF(ISBLANK(L10), IncompleteText, OKText))</f>
        <v/>
      </c>
      <c r="T10" s="54"/>
      <c r="U10" s="54"/>
      <c r="V10" s="54"/>
      <c r="W10" s="54"/>
      <c r="X10" s="54"/>
    </row>
    <row r="11" spans="1:24" x14ac:dyDescent="0.25">
      <c r="A11" s="7">
        <v>1</v>
      </c>
      <c r="B11" s="86"/>
      <c r="C11" s="86"/>
      <c r="D11" s="86"/>
      <c r="E11" s="86"/>
      <c r="F11" s="12" t="str">
        <f>IF(OR(ISBLANK(B11),ISBLANK(D11)), IncompleteText, IF(OR(_xlfn.XOR(B11&lt;D11,B10&lt;D10),B11=D11), ErrorText, OKText))</f>
        <v>BLANK</v>
      </c>
      <c r="H11" s="54" t="str">
        <f>IF(ISBLANK(J10),"",J10)</f>
        <v/>
      </c>
      <c r="I11" s="54"/>
      <c r="J11" s="54"/>
      <c r="K11" s="54"/>
      <c r="L11" s="29"/>
      <c r="M11" s="29"/>
      <c r="N11" s="29"/>
      <c r="O11" s="29"/>
      <c r="P11" s="29"/>
      <c r="Q11" s="29"/>
      <c r="R11" s="25"/>
      <c r="S11" s="12" t="str">
        <f>IF(ISBLANK(J11), "", IF(ISBLANK(L11), IncompleteText, OKText))</f>
        <v/>
      </c>
      <c r="T11" s="54"/>
      <c r="U11" s="54"/>
      <c r="V11" s="54"/>
      <c r="W11" s="54"/>
      <c r="X11" s="54"/>
    </row>
    <row r="17" spans="1:18" x14ac:dyDescent="0.25">
      <c r="H17" s="39"/>
      <c r="K17" s="39"/>
    </row>
    <row r="18" spans="1:18" x14ac:dyDescent="0.25">
      <c r="H18" s="39"/>
      <c r="K18" s="39"/>
      <c r="L18" s="38"/>
      <c r="N18" s="39"/>
      <c r="Q18" s="39"/>
    </row>
    <row r="19" spans="1:18" x14ac:dyDescent="0.25">
      <c r="H19" s="39"/>
      <c r="K19" s="39"/>
      <c r="L19" s="38"/>
      <c r="N19" s="39"/>
      <c r="Q19" s="39"/>
      <c r="R19" s="38"/>
    </row>
    <row r="20" spans="1:18" x14ac:dyDescent="0.25">
      <c r="H20" s="39"/>
      <c r="K20" s="39"/>
      <c r="L20" s="38"/>
      <c r="N20" s="39"/>
      <c r="Q20" s="39"/>
      <c r="R20" s="38"/>
    </row>
    <row r="21" spans="1:18" x14ac:dyDescent="0.25">
      <c r="H21" s="39"/>
      <c r="K21" s="39"/>
      <c r="L21" s="38"/>
      <c r="N21" s="39"/>
      <c r="Q21" s="39"/>
      <c r="R21" s="38"/>
    </row>
    <row r="22" spans="1:18" x14ac:dyDescent="0.25">
      <c r="H22" s="39"/>
      <c r="K22" s="39"/>
      <c r="L22" s="38"/>
      <c r="N22" s="39"/>
      <c r="Q22" s="39"/>
      <c r="R22" s="38"/>
    </row>
    <row r="23" spans="1:18" x14ac:dyDescent="0.25">
      <c r="N23" s="39"/>
      <c r="Q23" s="39"/>
      <c r="R23" s="38"/>
    </row>
    <row r="24" spans="1:18" x14ac:dyDescent="0.25">
      <c r="N24" s="39"/>
      <c r="Q24" s="39"/>
      <c r="R24" s="38"/>
    </row>
    <row r="25" spans="1:18" x14ac:dyDescent="0.25">
      <c r="N25" s="39"/>
      <c r="Q25" s="39"/>
      <c r="R25" s="38"/>
    </row>
    <row r="26" spans="1:18" ht="15" customHeight="1" x14ac:dyDescent="0.25">
      <c r="H26" s="39"/>
      <c r="K26" s="39"/>
      <c r="N26" s="39"/>
      <c r="Q26" s="39"/>
      <c r="R26" s="38"/>
    </row>
    <row r="27" spans="1:18" x14ac:dyDescent="0.25">
      <c r="H27" s="39"/>
      <c r="K27" s="39"/>
      <c r="L27" s="38"/>
      <c r="N27" s="39"/>
      <c r="Q27" s="39"/>
      <c r="R27" s="38"/>
    </row>
    <row r="28" spans="1:18" x14ac:dyDescent="0.25">
      <c r="H28" s="39"/>
      <c r="K28" s="39"/>
      <c r="L28" s="38"/>
      <c r="N28" s="39"/>
      <c r="Q28" s="39"/>
      <c r="R28" s="38"/>
    </row>
    <row r="29" spans="1:18" x14ac:dyDescent="0.25">
      <c r="H29" s="39"/>
      <c r="K29" s="39"/>
      <c r="L29" s="38"/>
      <c r="N29" s="39"/>
      <c r="Q29" s="39"/>
      <c r="R29" s="38"/>
    </row>
    <row r="30" spans="1:18" x14ac:dyDescent="0.25">
      <c r="A30" s="43" t="s">
        <v>242</v>
      </c>
      <c r="B30" s="43" t="s">
        <v>356</v>
      </c>
      <c r="C30" s="43" t="s">
        <v>364</v>
      </c>
      <c r="D30" s="43" t="s">
        <v>358</v>
      </c>
      <c r="E30" s="43" t="s">
        <v>357</v>
      </c>
      <c r="F30" s="43" t="s">
        <v>365</v>
      </c>
      <c r="G30" s="43" t="s">
        <v>358</v>
      </c>
      <c r="H30" s="42"/>
      <c r="K30" s="39"/>
      <c r="L30" s="38"/>
      <c r="N30" s="39"/>
      <c r="Q30" s="39"/>
      <c r="R30" s="38"/>
    </row>
    <row r="31" spans="1:18" x14ac:dyDescent="0.25">
      <c r="A31" s="43">
        <v>0</v>
      </c>
      <c r="B31" s="43" t="e">
        <f>_xlfn.FORECAST.LINEAR(A31,$B$6:$B$11,$A$6:$A$11)</f>
        <v>#DIV/0!</v>
      </c>
      <c r="C31" s="43" t="e">
        <f>_xlfn.FORECAST.LINEAR(B31,$A$6:$A$11,$D$6:$D$11)</f>
        <v>#DIV/0!</v>
      </c>
      <c r="D31" s="43" t="e">
        <f>ABS(C31-A31)</f>
        <v>#DIV/0!</v>
      </c>
      <c r="E31" s="43" t="e">
        <f>_xlfn.FORECAST.LINEAR(A31,$D$6:$D$11,$A$6:$A$11)</f>
        <v>#DIV/0!</v>
      </c>
      <c r="F31" s="43" t="e">
        <f>_xlfn.FORECAST.LINEAR(E31,$A$6:$A$11,$B$6:$B$11)</f>
        <v>#DIV/0!</v>
      </c>
      <c r="G31" s="43" t="e">
        <f t="shared" ref="G31:G62" si="0">ABS(F31-A31)</f>
        <v>#DIV/0!</v>
      </c>
      <c r="H31" s="42"/>
      <c r="K31" s="39"/>
      <c r="L31" s="38"/>
      <c r="N31" s="39"/>
      <c r="Q31" s="39"/>
      <c r="R31" s="38"/>
    </row>
    <row r="32" spans="1:18" x14ac:dyDescent="0.25">
      <c r="A32" s="43">
        <v>0.01</v>
      </c>
      <c r="B32" s="43" t="e">
        <f t="shared" ref="B32:B95" si="1">_xlfn.FORECAST.LINEAR(A32,$B$6:$B$11,$A$6:$A$11)</f>
        <v>#DIV/0!</v>
      </c>
      <c r="C32" s="43" t="e">
        <f t="shared" ref="C32:C95" si="2">_xlfn.FORECAST.LINEAR(B32,$A$6:$A$11,$D$6:$D$11)</f>
        <v>#DIV/0!</v>
      </c>
      <c r="D32" s="43" t="e">
        <f t="shared" ref="D32:D95" si="3">ABS(C32-A32)</f>
        <v>#DIV/0!</v>
      </c>
      <c r="E32" s="43" t="e">
        <f t="shared" ref="E32:E95" si="4">_xlfn.FORECAST.LINEAR(A32,$D$6:$D$11,$A$6:$A$11)</f>
        <v>#DIV/0!</v>
      </c>
      <c r="F32" s="43" t="e">
        <f t="shared" ref="F32:F95" si="5">_xlfn.FORECAST.LINEAR(E32,$A$6:$A$11,$B$6:$B$11)</f>
        <v>#DIV/0!</v>
      </c>
      <c r="G32" s="43" t="e">
        <f t="shared" si="0"/>
        <v>#DIV/0!</v>
      </c>
      <c r="H32" s="42"/>
      <c r="L32" s="38"/>
      <c r="N32" s="39"/>
      <c r="Q32" s="39"/>
      <c r="R32" s="38"/>
    </row>
    <row r="33" spans="1:18" x14ac:dyDescent="0.25">
      <c r="A33" s="43">
        <v>0.02</v>
      </c>
      <c r="B33" s="43" t="e">
        <f t="shared" si="1"/>
        <v>#DIV/0!</v>
      </c>
      <c r="C33" s="43" t="e">
        <f t="shared" si="2"/>
        <v>#DIV/0!</v>
      </c>
      <c r="D33" s="43" t="e">
        <f t="shared" si="3"/>
        <v>#DIV/0!</v>
      </c>
      <c r="E33" s="43" t="e">
        <f t="shared" si="4"/>
        <v>#DIV/0!</v>
      </c>
      <c r="F33" s="43" t="e">
        <f t="shared" si="5"/>
        <v>#DIV/0!</v>
      </c>
      <c r="G33" s="43" t="e">
        <f t="shared" si="0"/>
        <v>#DIV/0!</v>
      </c>
      <c r="H33" s="42"/>
      <c r="N33" s="39"/>
      <c r="Q33" s="39"/>
      <c r="R33" s="38"/>
    </row>
    <row r="34" spans="1:18" x14ac:dyDescent="0.25">
      <c r="A34" s="43">
        <v>0.03</v>
      </c>
      <c r="B34" s="43" t="e">
        <f t="shared" si="1"/>
        <v>#DIV/0!</v>
      </c>
      <c r="C34" s="43" t="e">
        <f t="shared" si="2"/>
        <v>#DIV/0!</v>
      </c>
      <c r="D34" s="43" t="e">
        <f t="shared" si="3"/>
        <v>#DIV/0!</v>
      </c>
      <c r="E34" s="43" t="e">
        <f t="shared" si="4"/>
        <v>#DIV/0!</v>
      </c>
      <c r="F34" s="43" t="e">
        <f t="shared" si="5"/>
        <v>#DIV/0!</v>
      </c>
      <c r="G34" s="43" t="e">
        <f t="shared" si="0"/>
        <v>#DIV/0!</v>
      </c>
      <c r="H34" s="42"/>
      <c r="N34" s="39"/>
      <c r="Q34" s="39"/>
      <c r="R34" s="38"/>
    </row>
    <row r="35" spans="1:18" x14ac:dyDescent="0.25">
      <c r="A35" s="43">
        <v>0.04</v>
      </c>
      <c r="B35" s="43" t="e">
        <f t="shared" si="1"/>
        <v>#DIV/0!</v>
      </c>
      <c r="C35" s="43" t="e">
        <f t="shared" si="2"/>
        <v>#DIV/0!</v>
      </c>
      <c r="D35" s="43" t="e">
        <f t="shared" si="3"/>
        <v>#DIV/0!</v>
      </c>
      <c r="E35" s="43" t="e">
        <f t="shared" si="4"/>
        <v>#DIV/0!</v>
      </c>
      <c r="F35" s="43" t="e">
        <f t="shared" si="5"/>
        <v>#DIV/0!</v>
      </c>
      <c r="G35" s="43" t="e">
        <f t="shared" si="0"/>
        <v>#DIV/0!</v>
      </c>
      <c r="H35" s="42"/>
      <c r="N35" s="39"/>
      <c r="Q35" s="39"/>
      <c r="R35" s="38"/>
    </row>
    <row r="36" spans="1:18" x14ac:dyDescent="0.25">
      <c r="A36" s="43">
        <v>0.05</v>
      </c>
      <c r="B36" s="43" t="e">
        <f t="shared" si="1"/>
        <v>#DIV/0!</v>
      </c>
      <c r="C36" s="43" t="e">
        <f t="shared" si="2"/>
        <v>#DIV/0!</v>
      </c>
      <c r="D36" s="43" t="e">
        <f t="shared" si="3"/>
        <v>#DIV/0!</v>
      </c>
      <c r="E36" s="43" t="e">
        <f t="shared" si="4"/>
        <v>#DIV/0!</v>
      </c>
      <c r="F36" s="43" t="e">
        <f t="shared" si="5"/>
        <v>#DIV/0!</v>
      </c>
      <c r="G36" s="43" t="e">
        <f t="shared" si="0"/>
        <v>#DIV/0!</v>
      </c>
      <c r="H36" s="42"/>
      <c r="N36" s="39"/>
      <c r="Q36" s="39"/>
      <c r="R36" s="38"/>
    </row>
    <row r="37" spans="1:18" x14ac:dyDescent="0.25">
      <c r="A37" s="43">
        <v>0.06</v>
      </c>
      <c r="B37" s="43" t="e">
        <f t="shared" si="1"/>
        <v>#DIV/0!</v>
      </c>
      <c r="C37" s="43" t="e">
        <f t="shared" si="2"/>
        <v>#DIV/0!</v>
      </c>
      <c r="D37" s="43" t="e">
        <f t="shared" si="3"/>
        <v>#DIV/0!</v>
      </c>
      <c r="E37" s="43" t="e">
        <f t="shared" si="4"/>
        <v>#DIV/0!</v>
      </c>
      <c r="F37" s="43" t="e">
        <f t="shared" si="5"/>
        <v>#DIV/0!</v>
      </c>
      <c r="G37" s="43" t="e">
        <f t="shared" si="0"/>
        <v>#DIV/0!</v>
      </c>
      <c r="H37" s="42"/>
      <c r="N37" s="39"/>
      <c r="Q37" s="39"/>
      <c r="R37" s="38"/>
    </row>
    <row r="38" spans="1:18" x14ac:dyDescent="0.25">
      <c r="A38" s="43">
        <v>7.0000000000000007E-2</v>
      </c>
      <c r="B38" s="43" t="e">
        <f t="shared" si="1"/>
        <v>#DIV/0!</v>
      </c>
      <c r="C38" s="43" t="e">
        <f t="shared" si="2"/>
        <v>#DIV/0!</v>
      </c>
      <c r="D38" s="43" t="e">
        <f t="shared" si="3"/>
        <v>#DIV/0!</v>
      </c>
      <c r="E38" s="43" t="e">
        <f t="shared" si="4"/>
        <v>#DIV/0!</v>
      </c>
      <c r="F38" s="43" t="e">
        <f t="shared" si="5"/>
        <v>#DIV/0!</v>
      </c>
      <c r="G38" s="43" t="e">
        <f t="shared" si="0"/>
        <v>#DIV/0!</v>
      </c>
      <c r="H38" s="42"/>
      <c r="N38" s="39"/>
      <c r="Q38" s="39"/>
      <c r="R38" s="38"/>
    </row>
    <row r="39" spans="1:18" x14ac:dyDescent="0.25">
      <c r="A39" s="43">
        <v>0.08</v>
      </c>
      <c r="B39" s="43" t="e">
        <f t="shared" si="1"/>
        <v>#DIV/0!</v>
      </c>
      <c r="C39" s="43" t="e">
        <f t="shared" si="2"/>
        <v>#DIV/0!</v>
      </c>
      <c r="D39" s="43" t="e">
        <f t="shared" si="3"/>
        <v>#DIV/0!</v>
      </c>
      <c r="E39" s="43" t="e">
        <f t="shared" si="4"/>
        <v>#DIV/0!</v>
      </c>
      <c r="F39" s="43" t="e">
        <f t="shared" si="5"/>
        <v>#DIV/0!</v>
      </c>
      <c r="G39" s="43" t="e">
        <f t="shared" si="0"/>
        <v>#DIV/0!</v>
      </c>
      <c r="H39" s="42"/>
      <c r="N39" s="39"/>
      <c r="Q39" s="39"/>
      <c r="R39" s="38"/>
    </row>
    <row r="40" spans="1:18" x14ac:dyDescent="0.25">
      <c r="A40" s="43">
        <v>0.09</v>
      </c>
      <c r="B40" s="43" t="e">
        <f t="shared" si="1"/>
        <v>#DIV/0!</v>
      </c>
      <c r="C40" s="43" t="e">
        <f t="shared" si="2"/>
        <v>#DIV/0!</v>
      </c>
      <c r="D40" s="43" t="e">
        <f t="shared" si="3"/>
        <v>#DIV/0!</v>
      </c>
      <c r="E40" s="43" t="e">
        <f t="shared" si="4"/>
        <v>#DIV/0!</v>
      </c>
      <c r="F40" s="43" t="e">
        <f t="shared" si="5"/>
        <v>#DIV/0!</v>
      </c>
      <c r="G40" s="43" t="e">
        <f t="shared" si="0"/>
        <v>#DIV/0!</v>
      </c>
      <c r="H40" s="42"/>
      <c r="N40" s="39"/>
      <c r="Q40" s="39"/>
      <c r="R40" s="38"/>
    </row>
    <row r="41" spans="1:18" x14ac:dyDescent="0.25">
      <c r="A41" s="43">
        <v>0.1</v>
      </c>
      <c r="B41" s="43" t="e">
        <f t="shared" si="1"/>
        <v>#DIV/0!</v>
      </c>
      <c r="C41" s="43" t="e">
        <f t="shared" si="2"/>
        <v>#DIV/0!</v>
      </c>
      <c r="D41" s="43" t="e">
        <f t="shared" si="3"/>
        <v>#DIV/0!</v>
      </c>
      <c r="E41" s="43" t="e">
        <f t="shared" si="4"/>
        <v>#DIV/0!</v>
      </c>
      <c r="F41" s="43" t="e">
        <f t="shared" si="5"/>
        <v>#DIV/0!</v>
      </c>
      <c r="G41" s="43" t="e">
        <f t="shared" si="0"/>
        <v>#DIV/0!</v>
      </c>
      <c r="H41" s="42"/>
      <c r="N41" s="39"/>
      <c r="Q41" s="39"/>
      <c r="R41" s="38"/>
    </row>
    <row r="42" spans="1:18" x14ac:dyDescent="0.25">
      <c r="A42" s="43">
        <v>0.11</v>
      </c>
      <c r="B42" s="43" t="e">
        <f t="shared" si="1"/>
        <v>#DIV/0!</v>
      </c>
      <c r="C42" s="43" t="e">
        <f t="shared" si="2"/>
        <v>#DIV/0!</v>
      </c>
      <c r="D42" s="43" t="e">
        <f t="shared" si="3"/>
        <v>#DIV/0!</v>
      </c>
      <c r="E42" s="43" t="e">
        <f t="shared" si="4"/>
        <v>#DIV/0!</v>
      </c>
      <c r="F42" s="43" t="e">
        <f t="shared" si="5"/>
        <v>#DIV/0!</v>
      </c>
      <c r="G42" s="43" t="e">
        <f t="shared" si="0"/>
        <v>#DIV/0!</v>
      </c>
      <c r="H42" s="42"/>
      <c r="N42" s="39"/>
      <c r="Q42" s="39"/>
      <c r="R42" s="38"/>
    </row>
    <row r="43" spans="1:18" x14ac:dyDescent="0.25">
      <c r="A43" s="43">
        <v>0.12</v>
      </c>
      <c r="B43" s="43" t="e">
        <f t="shared" si="1"/>
        <v>#DIV/0!</v>
      </c>
      <c r="C43" s="43" t="e">
        <f t="shared" si="2"/>
        <v>#DIV/0!</v>
      </c>
      <c r="D43" s="43" t="e">
        <f t="shared" si="3"/>
        <v>#DIV/0!</v>
      </c>
      <c r="E43" s="43" t="e">
        <f t="shared" si="4"/>
        <v>#DIV/0!</v>
      </c>
      <c r="F43" s="43" t="e">
        <f t="shared" si="5"/>
        <v>#DIV/0!</v>
      </c>
      <c r="G43" s="43" t="e">
        <f t="shared" si="0"/>
        <v>#DIV/0!</v>
      </c>
      <c r="H43" s="42"/>
      <c r="N43" s="39"/>
      <c r="Q43" s="39"/>
      <c r="R43" s="38"/>
    </row>
    <row r="44" spans="1:18" x14ac:dyDescent="0.25">
      <c r="A44" s="43">
        <v>0.13</v>
      </c>
      <c r="B44" s="43" t="e">
        <f t="shared" si="1"/>
        <v>#DIV/0!</v>
      </c>
      <c r="C44" s="43" t="e">
        <f t="shared" si="2"/>
        <v>#DIV/0!</v>
      </c>
      <c r="D44" s="43" t="e">
        <f t="shared" si="3"/>
        <v>#DIV/0!</v>
      </c>
      <c r="E44" s="43" t="e">
        <f t="shared" si="4"/>
        <v>#DIV/0!</v>
      </c>
      <c r="F44" s="43" t="e">
        <f t="shared" si="5"/>
        <v>#DIV/0!</v>
      </c>
      <c r="G44" s="43" t="e">
        <f t="shared" si="0"/>
        <v>#DIV/0!</v>
      </c>
      <c r="H44" s="42"/>
      <c r="N44" s="39"/>
      <c r="Q44" s="39"/>
      <c r="R44" s="38"/>
    </row>
    <row r="45" spans="1:18" x14ac:dyDescent="0.25">
      <c r="A45" s="43">
        <v>0.14000000000000001</v>
      </c>
      <c r="B45" s="43" t="e">
        <f t="shared" si="1"/>
        <v>#DIV/0!</v>
      </c>
      <c r="C45" s="43" t="e">
        <f t="shared" si="2"/>
        <v>#DIV/0!</v>
      </c>
      <c r="D45" s="43" t="e">
        <f t="shared" si="3"/>
        <v>#DIV/0!</v>
      </c>
      <c r="E45" s="43" t="e">
        <f t="shared" si="4"/>
        <v>#DIV/0!</v>
      </c>
      <c r="F45" s="43" t="e">
        <f t="shared" si="5"/>
        <v>#DIV/0!</v>
      </c>
      <c r="G45" s="43" t="e">
        <f t="shared" si="0"/>
        <v>#DIV/0!</v>
      </c>
      <c r="H45" s="42"/>
      <c r="N45" s="39"/>
      <c r="Q45" s="39"/>
      <c r="R45" s="38"/>
    </row>
    <row r="46" spans="1:18" x14ac:dyDescent="0.25">
      <c r="A46" s="43">
        <v>0.15</v>
      </c>
      <c r="B46" s="43" t="e">
        <f t="shared" si="1"/>
        <v>#DIV/0!</v>
      </c>
      <c r="C46" s="43" t="e">
        <f t="shared" si="2"/>
        <v>#DIV/0!</v>
      </c>
      <c r="D46" s="43" t="e">
        <f t="shared" si="3"/>
        <v>#DIV/0!</v>
      </c>
      <c r="E46" s="43" t="e">
        <f t="shared" si="4"/>
        <v>#DIV/0!</v>
      </c>
      <c r="F46" s="43" t="e">
        <f t="shared" si="5"/>
        <v>#DIV/0!</v>
      </c>
      <c r="G46" s="43" t="e">
        <f t="shared" si="0"/>
        <v>#DIV/0!</v>
      </c>
      <c r="H46" s="42"/>
      <c r="N46" s="39"/>
      <c r="Q46" s="39"/>
      <c r="R46" s="38"/>
    </row>
    <row r="47" spans="1:18" x14ac:dyDescent="0.25">
      <c r="A47" s="43">
        <v>0.16</v>
      </c>
      <c r="B47" s="43" t="e">
        <f t="shared" si="1"/>
        <v>#DIV/0!</v>
      </c>
      <c r="C47" s="43" t="e">
        <f t="shared" si="2"/>
        <v>#DIV/0!</v>
      </c>
      <c r="D47" s="43" t="e">
        <f t="shared" si="3"/>
        <v>#DIV/0!</v>
      </c>
      <c r="E47" s="43" t="e">
        <f t="shared" si="4"/>
        <v>#DIV/0!</v>
      </c>
      <c r="F47" s="43" t="e">
        <f t="shared" si="5"/>
        <v>#DIV/0!</v>
      </c>
      <c r="G47" s="43" t="e">
        <f t="shared" si="0"/>
        <v>#DIV/0!</v>
      </c>
      <c r="H47" s="42"/>
      <c r="N47" s="39"/>
      <c r="Q47" s="39"/>
      <c r="R47" s="38"/>
    </row>
    <row r="48" spans="1:18" x14ac:dyDescent="0.25">
      <c r="A48" s="43">
        <v>0.17</v>
      </c>
      <c r="B48" s="43" t="e">
        <f t="shared" si="1"/>
        <v>#DIV/0!</v>
      </c>
      <c r="C48" s="43" t="e">
        <f t="shared" si="2"/>
        <v>#DIV/0!</v>
      </c>
      <c r="D48" s="43" t="e">
        <f t="shared" si="3"/>
        <v>#DIV/0!</v>
      </c>
      <c r="E48" s="43" t="e">
        <f t="shared" si="4"/>
        <v>#DIV/0!</v>
      </c>
      <c r="F48" s="43" t="e">
        <f t="shared" si="5"/>
        <v>#DIV/0!</v>
      </c>
      <c r="G48" s="43" t="e">
        <f t="shared" si="0"/>
        <v>#DIV/0!</v>
      </c>
      <c r="H48" s="42"/>
      <c r="N48" s="39"/>
      <c r="Q48" s="39"/>
      <c r="R48" s="38"/>
    </row>
    <row r="49" spans="1:18" x14ac:dyDescent="0.25">
      <c r="A49" s="43">
        <v>0.18</v>
      </c>
      <c r="B49" s="43" t="e">
        <f t="shared" si="1"/>
        <v>#DIV/0!</v>
      </c>
      <c r="C49" s="43" t="e">
        <f t="shared" si="2"/>
        <v>#DIV/0!</v>
      </c>
      <c r="D49" s="43" t="e">
        <f t="shared" si="3"/>
        <v>#DIV/0!</v>
      </c>
      <c r="E49" s="43" t="e">
        <f t="shared" si="4"/>
        <v>#DIV/0!</v>
      </c>
      <c r="F49" s="43" t="e">
        <f t="shared" si="5"/>
        <v>#DIV/0!</v>
      </c>
      <c r="G49" s="43" t="e">
        <f t="shared" si="0"/>
        <v>#DIV/0!</v>
      </c>
      <c r="H49" s="42"/>
      <c r="N49" s="39"/>
      <c r="Q49" s="39"/>
      <c r="R49" s="38"/>
    </row>
    <row r="50" spans="1:18" x14ac:dyDescent="0.25">
      <c r="A50" s="43">
        <v>0.19</v>
      </c>
      <c r="B50" s="43" t="e">
        <f t="shared" si="1"/>
        <v>#DIV/0!</v>
      </c>
      <c r="C50" s="43" t="e">
        <f t="shared" si="2"/>
        <v>#DIV/0!</v>
      </c>
      <c r="D50" s="43" t="e">
        <f t="shared" si="3"/>
        <v>#DIV/0!</v>
      </c>
      <c r="E50" s="43" t="e">
        <f t="shared" si="4"/>
        <v>#DIV/0!</v>
      </c>
      <c r="F50" s="43" t="e">
        <f t="shared" si="5"/>
        <v>#DIV/0!</v>
      </c>
      <c r="G50" s="43" t="e">
        <f t="shared" si="0"/>
        <v>#DIV/0!</v>
      </c>
      <c r="H50" s="42"/>
      <c r="N50" s="39"/>
      <c r="Q50" s="39"/>
      <c r="R50" s="38"/>
    </row>
    <row r="51" spans="1:18" x14ac:dyDescent="0.25">
      <c r="A51" s="43">
        <v>0.2</v>
      </c>
      <c r="B51" s="43" t="e">
        <f t="shared" si="1"/>
        <v>#DIV/0!</v>
      </c>
      <c r="C51" s="43" t="e">
        <f t="shared" si="2"/>
        <v>#DIV/0!</v>
      </c>
      <c r="D51" s="43" t="e">
        <f t="shared" si="3"/>
        <v>#DIV/0!</v>
      </c>
      <c r="E51" s="43" t="e">
        <f t="shared" si="4"/>
        <v>#DIV/0!</v>
      </c>
      <c r="F51" s="43" t="e">
        <f t="shared" si="5"/>
        <v>#DIV/0!</v>
      </c>
      <c r="G51" s="43" t="e">
        <f t="shared" si="0"/>
        <v>#DIV/0!</v>
      </c>
      <c r="H51" s="42"/>
      <c r="N51" s="39"/>
      <c r="Q51" s="39"/>
      <c r="R51" s="38"/>
    </row>
    <row r="52" spans="1:18" x14ac:dyDescent="0.25">
      <c r="A52" s="43">
        <v>0.21</v>
      </c>
      <c r="B52" s="43" t="e">
        <f t="shared" si="1"/>
        <v>#DIV/0!</v>
      </c>
      <c r="C52" s="43" t="e">
        <f t="shared" si="2"/>
        <v>#DIV/0!</v>
      </c>
      <c r="D52" s="43" t="e">
        <f t="shared" si="3"/>
        <v>#DIV/0!</v>
      </c>
      <c r="E52" s="43" t="e">
        <f t="shared" si="4"/>
        <v>#DIV/0!</v>
      </c>
      <c r="F52" s="43" t="e">
        <f t="shared" si="5"/>
        <v>#DIV/0!</v>
      </c>
      <c r="G52" s="43" t="e">
        <f t="shared" si="0"/>
        <v>#DIV/0!</v>
      </c>
      <c r="H52" s="42"/>
      <c r="N52" s="39"/>
      <c r="Q52" s="39"/>
      <c r="R52" s="38"/>
    </row>
    <row r="53" spans="1:18" x14ac:dyDescent="0.25">
      <c r="A53" s="43">
        <v>0.22</v>
      </c>
      <c r="B53" s="43" t="e">
        <f t="shared" si="1"/>
        <v>#DIV/0!</v>
      </c>
      <c r="C53" s="43" t="e">
        <f t="shared" si="2"/>
        <v>#DIV/0!</v>
      </c>
      <c r="D53" s="43" t="e">
        <f t="shared" si="3"/>
        <v>#DIV/0!</v>
      </c>
      <c r="E53" s="43" t="e">
        <f t="shared" si="4"/>
        <v>#DIV/0!</v>
      </c>
      <c r="F53" s="43" t="e">
        <f t="shared" si="5"/>
        <v>#DIV/0!</v>
      </c>
      <c r="G53" s="43" t="e">
        <f t="shared" si="0"/>
        <v>#DIV/0!</v>
      </c>
      <c r="H53" s="42"/>
      <c r="N53" s="39"/>
      <c r="Q53" s="39"/>
      <c r="R53" s="38"/>
    </row>
    <row r="54" spans="1:18" x14ac:dyDescent="0.25">
      <c r="A54" s="43">
        <v>0.23</v>
      </c>
      <c r="B54" s="43" t="e">
        <f t="shared" si="1"/>
        <v>#DIV/0!</v>
      </c>
      <c r="C54" s="43" t="e">
        <f t="shared" si="2"/>
        <v>#DIV/0!</v>
      </c>
      <c r="D54" s="43" t="e">
        <f t="shared" si="3"/>
        <v>#DIV/0!</v>
      </c>
      <c r="E54" s="43" t="e">
        <f t="shared" si="4"/>
        <v>#DIV/0!</v>
      </c>
      <c r="F54" s="43" t="e">
        <f t="shared" si="5"/>
        <v>#DIV/0!</v>
      </c>
      <c r="G54" s="43" t="e">
        <f t="shared" si="0"/>
        <v>#DIV/0!</v>
      </c>
      <c r="H54" s="42"/>
      <c r="N54" s="39"/>
      <c r="Q54" s="39"/>
      <c r="R54" s="38"/>
    </row>
    <row r="55" spans="1:18" x14ac:dyDescent="0.25">
      <c r="A55" s="43">
        <v>0.24</v>
      </c>
      <c r="B55" s="43" t="e">
        <f t="shared" si="1"/>
        <v>#DIV/0!</v>
      </c>
      <c r="C55" s="43" t="e">
        <f t="shared" si="2"/>
        <v>#DIV/0!</v>
      </c>
      <c r="D55" s="43" t="e">
        <f t="shared" si="3"/>
        <v>#DIV/0!</v>
      </c>
      <c r="E55" s="43" t="e">
        <f t="shared" si="4"/>
        <v>#DIV/0!</v>
      </c>
      <c r="F55" s="43" t="e">
        <f t="shared" si="5"/>
        <v>#DIV/0!</v>
      </c>
      <c r="G55" s="43" t="e">
        <f t="shared" si="0"/>
        <v>#DIV/0!</v>
      </c>
      <c r="H55" s="42"/>
      <c r="N55" s="39"/>
      <c r="Q55" s="39"/>
      <c r="R55" s="38"/>
    </row>
    <row r="56" spans="1:18" x14ac:dyDescent="0.25">
      <c r="A56" s="43">
        <v>0.25</v>
      </c>
      <c r="B56" s="43" t="e">
        <f t="shared" si="1"/>
        <v>#DIV/0!</v>
      </c>
      <c r="C56" s="43" t="e">
        <f t="shared" si="2"/>
        <v>#DIV/0!</v>
      </c>
      <c r="D56" s="43" t="e">
        <f t="shared" si="3"/>
        <v>#DIV/0!</v>
      </c>
      <c r="E56" s="43" t="e">
        <f t="shared" si="4"/>
        <v>#DIV/0!</v>
      </c>
      <c r="F56" s="43" t="e">
        <f t="shared" si="5"/>
        <v>#DIV/0!</v>
      </c>
      <c r="G56" s="43" t="e">
        <f t="shared" si="0"/>
        <v>#DIV/0!</v>
      </c>
      <c r="H56" s="42"/>
      <c r="N56" s="39"/>
      <c r="Q56" s="39"/>
      <c r="R56" s="38"/>
    </row>
    <row r="57" spans="1:18" x14ac:dyDescent="0.25">
      <c r="A57" s="43">
        <v>0.26</v>
      </c>
      <c r="B57" s="43" t="e">
        <f t="shared" si="1"/>
        <v>#DIV/0!</v>
      </c>
      <c r="C57" s="43" t="e">
        <f t="shared" si="2"/>
        <v>#DIV/0!</v>
      </c>
      <c r="D57" s="43" t="e">
        <f t="shared" si="3"/>
        <v>#DIV/0!</v>
      </c>
      <c r="E57" s="43" t="e">
        <f t="shared" si="4"/>
        <v>#DIV/0!</v>
      </c>
      <c r="F57" s="43" t="e">
        <f t="shared" si="5"/>
        <v>#DIV/0!</v>
      </c>
      <c r="G57" s="43" t="e">
        <f t="shared" si="0"/>
        <v>#DIV/0!</v>
      </c>
      <c r="H57" s="42"/>
      <c r="N57" s="39"/>
      <c r="Q57" s="39"/>
      <c r="R57" s="38"/>
    </row>
    <row r="58" spans="1:18" x14ac:dyDescent="0.25">
      <c r="A58" s="43">
        <v>0.27</v>
      </c>
      <c r="B58" s="43" t="e">
        <f t="shared" si="1"/>
        <v>#DIV/0!</v>
      </c>
      <c r="C58" s="43" t="e">
        <f t="shared" si="2"/>
        <v>#DIV/0!</v>
      </c>
      <c r="D58" s="43" t="e">
        <f t="shared" si="3"/>
        <v>#DIV/0!</v>
      </c>
      <c r="E58" s="43" t="e">
        <f t="shared" si="4"/>
        <v>#DIV/0!</v>
      </c>
      <c r="F58" s="43" t="e">
        <f t="shared" si="5"/>
        <v>#DIV/0!</v>
      </c>
      <c r="G58" s="43" t="e">
        <f t="shared" si="0"/>
        <v>#DIV/0!</v>
      </c>
      <c r="H58" s="42"/>
      <c r="N58" s="39"/>
      <c r="Q58" s="39"/>
      <c r="R58" s="38"/>
    </row>
    <row r="59" spans="1:18" x14ac:dyDescent="0.25">
      <c r="A59" s="43">
        <v>0.28000000000000003</v>
      </c>
      <c r="B59" s="43" t="e">
        <f t="shared" si="1"/>
        <v>#DIV/0!</v>
      </c>
      <c r="C59" s="43" t="e">
        <f t="shared" si="2"/>
        <v>#DIV/0!</v>
      </c>
      <c r="D59" s="43" t="e">
        <f t="shared" si="3"/>
        <v>#DIV/0!</v>
      </c>
      <c r="E59" s="43" t="e">
        <f t="shared" si="4"/>
        <v>#DIV/0!</v>
      </c>
      <c r="F59" s="43" t="e">
        <f t="shared" si="5"/>
        <v>#DIV/0!</v>
      </c>
      <c r="G59" s="43" t="e">
        <f t="shared" si="0"/>
        <v>#DIV/0!</v>
      </c>
      <c r="H59" s="42"/>
      <c r="N59" s="39"/>
      <c r="Q59" s="39"/>
      <c r="R59" s="38"/>
    </row>
    <row r="60" spans="1:18" x14ac:dyDescent="0.25">
      <c r="A60" s="43">
        <v>0.28999999999999998</v>
      </c>
      <c r="B60" s="43" t="e">
        <f t="shared" si="1"/>
        <v>#DIV/0!</v>
      </c>
      <c r="C60" s="43" t="e">
        <f t="shared" si="2"/>
        <v>#DIV/0!</v>
      </c>
      <c r="D60" s="43" t="e">
        <f t="shared" si="3"/>
        <v>#DIV/0!</v>
      </c>
      <c r="E60" s="43" t="e">
        <f t="shared" si="4"/>
        <v>#DIV/0!</v>
      </c>
      <c r="F60" s="43" t="e">
        <f t="shared" si="5"/>
        <v>#DIV/0!</v>
      </c>
      <c r="G60" s="43" t="e">
        <f t="shared" si="0"/>
        <v>#DIV/0!</v>
      </c>
      <c r="H60" s="42"/>
      <c r="N60" s="39"/>
      <c r="Q60" s="39"/>
      <c r="R60" s="38"/>
    </row>
    <row r="61" spans="1:18" x14ac:dyDescent="0.25">
      <c r="A61" s="43">
        <v>0.3</v>
      </c>
      <c r="B61" s="43" t="e">
        <f t="shared" si="1"/>
        <v>#DIV/0!</v>
      </c>
      <c r="C61" s="43" t="e">
        <f t="shared" si="2"/>
        <v>#DIV/0!</v>
      </c>
      <c r="D61" s="43" t="e">
        <f t="shared" si="3"/>
        <v>#DIV/0!</v>
      </c>
      <c r="E61" s="43" t="e">
        <f t="shared" si="4"/>
        <v>#DIV/0!</v>
      </c>
      <c r="F61" s="43" t="e">
        <f t="shared" si="5"/>
        <v>#DIV/0!</v>
      </c>
      <c r="G61" s="43" t="e">
        <f t="shared" si="0"/>
        <v>#DIV/0!</v>
      </c>
      <c r="H61" s="42"/>
      <c r="N61" s="39"/>
      <c r="Q61" s="39"/>
      <c r="R61" s="38"/>
    </row>
    <row r="62" spans="1:18" x14ac:dyDescent="0.25">
      <c r="A62" s="43">
        <v>0.31</v>
      </c>
      <c r="B62" s="43" t="e">
        <f t="shared" si="1"/>
        <v>#DIV/0!</v>
      </c>
      <c r="C62" s="43" t="e">
        <f t="shared" si="2"/>
        <v>#DIV/0!</v>
      </c>
      <c r="D62" s="43" t="e">
        <f t="shared" si="3"/>
        <v>#DIV/0!</v>
      </c>
      <c r="E62" s="43" t="e">
        <f t="shared" si="4"/>
        <v>#DIV/0!</v>
      </c>
      <c r="F62" s="43" t="e">
        <f t="shared" si="5"/>
        <v>#DIV/0!</v>
      </c>
      <c r="G62" s="43" t="e">
        <f t="shared" si="0"/>
        <v>#DIV/0!</v>
      </c>
      <c r="H62" s="42"/>
      <c r="N62" s="39"/>
      <c r="Q62" s="39"/>
      <c r="R62" s="38"/>
    </row>
    <row r="63" spans="1:18" x14ac:dyDescent="0.25">
      <c r="A63" s="43">
        <v>0.32</v>
      </c>
      <c r="B63" s="43" t="e">
        <f t="shared" si="1"/>
        <v>#DIV/0!</v>
      </c>
      <c r="C63" s="43" t="e">
        <f t="shared" si="2"/>
        <v>#DIV/0!</v>
      </c>
      <c r="D63" s="43" t="e">
        <f t="shared" si="3"/>
        <v>#DIV/0!</v>
      </c>
      <c r="E63" s="43" t="e">
        <f t="shared" si="4"/>
        <v>#DIV/0!</v>
      </c>
      <c r="F63" s="43" t="e">
        <f t="shared" si="5"/>
        <v>#DIV/0!</v>
      </c>
      <c r="G63" s="43" t="e">
        <f t="shared" ref="G63:G94" si="6">ABS(F63-A63)</f>
        <v>#DIV/0!</v>
      </c>
      <c r="H63" s="42"/>
      <c r="N63" s="39"/>
      <c r="Q63" s="39"/>
      <c r="R63" s="38"/>
    </row>
    <row r="64" spans="1:18" x14ac:dyDescent="0.25">
      <c r="A64" s="43">
        <v>0.33</v>
      </c>
      <c r="B64" s="43" t="e">
        <f t="shared" si="1"/>
        <v>#DIV/0!</v>
      </c>
      <c r="C64" s="43" t="e">
        <f t="shared" si="2"/>
        <v>#DIV/0!</v>
      </c>
      <c r="D64" s="43" t="e">
        <f t="shared" si="3"/>
        <v>#DIV/0!</v>
      </c>
      <c r="E64" s="43" t="e">
        <f t="shared" si="4"/>
        <v>#DIV/0!</v>
      </c>
      <c r="F64" s="43" t="e">
        <f t="shared" si="5"/>
        <v>#DIV/0!</v>
      </c>
      <c r="G64" s="43" t="e">
        <f t="shared" si="6"/>
        <v>#DIV/0!</v>
      </c>
      <c r="H64" s="42"/>
      <c r="N64" s="39"/>
      <c r="Q64" s="39"/>
      <c r="R64" s="38"/>
    </row>
    <row r="65" spans="1:18" x14ac:dyDescent="0.25">
      <c r="A65" s="43">
        <v>0.34</v>
      </c>
      <c r="B65" s="43" t="e">
        <f t="shared" si="1"/>
        <v>#DIV/0!</v>
      </c>
      <c r="C65" s="43" t="e">
        <f t="shared" si="2"/>
        <v>#DIV/0!</v>
      </c>
      <c r="D65" s="43" t="e">
        <f t="shared" si="3"/>
        <v>#DIV/0!</v>
      </c>
      <c r="E65" s="43" t="e">
        <f t="shared" si="4"/>
        <v>#DIV/0!</v>
      </c>
      <c r="F65" s="43" t="e">
        <f t="shared" si="5"/>
        <v>#DIV/0!</v>
      </c>
      <c r="G65" s="43" t="e">
        <f t="shared" si="6"/>
        <v>#DIV/0!</v>
      </c>
      <c r="H65" s="42"/>
      <c r="N65" s="39"/>
      <c r="Q65" s="39"/>
      <c r="R65" s="38"/>
    </row>
    <row r="66" spans="1:18" x14ac:dyDescent="0.25">
      <c r="A66" s="43">
        <v>0.35</v>
      </c>
      <c r="B66" s="43" t="e">
        <f t="shared" si="1"/>
        <v>#DIV/0!</v>
      </c>
      <c r="C66" s="43" t="e">
        <f t="shared" si="2"/>
        <v>#DIV/0!</v>
      </c>
      <c r="D66" s="43" t="e">
        <f t="shared" si="3"/>
        <v>#DIV/0!</v>
      </c>
      <c r="E66" s="43" t="e">
        <f t="shared" si="4"/>
        <v>#DIV/0!</v>
      </c>
      <c r="F66" s="43" t="e">
        <f t="shared" si="5"/>
        <v>#DIV/0!</v>
      </c>
      <c r="G66" s="43" t="e">
        <f t="shared" si="6"/>
        <v>#DIV/0!</v>
      </c>
      <c r="H66" s="42"/>
      <c r="N66" s="39"/>
      <c r="Q66" s="39"/>
      <c r="R66" s="38"/>
    </row>
    <row r="67" spans="1:18" x14ac:dyDescent="0.25">
      <c r="A67" s="43">
        <v>0.36</v>
      </c>
      <c r="B67" s="43" t="e">
        <f t="shared" si="1"/>
        <v>#DIV/0!</v>
      </c>
      <c r="C67" s="43" t="e">
        <f t="shared" si="2"/>
        <v>#DIV/0!</v>
      </c>
      <c r="D67" s="43" t="e">
        <f t="shared" si="3"/>
        <v>#DIV/0!</v>
      </c>
      <c r="E67" s="43" t="e">
        <f t="shared" si="4"/>
        <v>#DIV/0!</v>
      </c>
      <c r="F67" s="43" t="e">
        <f t="shared" si="5"/>
        <v>#DIV/0!</v>
      </c>
      <c r="G67" s="43" t="e">
        <f t="shared" si="6"/>
        <v>#DIV/0!</v>
      </c>
      <c r="H67" s="42"/>
      <c r="N67" s="39"/>
      <c r="Q67" s="39"/>
      <c r="R67" s="38"/>
    </row>
    <row r="68" spans="1:18" x14ac:dyDescent="0.25">
      <c r="A68" s="43">
        <v>0.37</v>
      </c>
      <c r="B68" s="43" t="e">
        <f t="shared" si="1"/>
        <v>#DIV/0!</v>
      </c>
      <c r="C68" s="43" t="e">
        <f t="shared" si="2"/>
        <v>#DIV/0!</v>
      </c>
      <c r="D68" s="43" t="e">
        <f t="shared" si="3"/>
        <v>#DIV/0!</v>
      </c>
      <c r="E68" s="43" t="e">
        <f t="shared" si="4"/>
        <v>#DIV/0!</v>
      </c>
      <c r="F68" s="43" t="e">
        <f t="shared" si="5"/>
        <v>#DIV/0!</v>
      </c>
      <c r="G68" s="43" t="e">
        <f t="shared" si="6"/>
        <v>#DIV/0!</v>
      </c>
      <c r="H68" s="42"/>
      <c r="N68" s="39"/>
      <c r="Q68" s="39"/>
      <c r="R68" s="38"/>
    </row>
    <row r="69" spans="1:18" x14ac:dyDescent="0.25">
      <c r="A69" s="43">
        <v>0.38</v>
      </c>
      <c r="B69" s="43" t="e">
        <f t="shared" si="1"/>
        <v>#DIV/0!</v>
      </c>
      <c r="C69" s="43" t="e">
        <f t="shared" si="2"/>
        <v>#DIV/0!</v>
      </c>
      <c r="D69" s="43" t="e">
        <f t="shared" si="3"/>
        <v>#DIV/0!</v>
      </c>
      <c r="E69" s="43" t="e">
        <f t="shared" si="4"/>
        <v>#DIV/0!</v>
      </c>
      <c r="F69" s="43" t="e">
        <f t="shared" si="5"/>
        <v>#DIV/0!</v>
      </c>
      <c r="G69" s="43" t="e">
        <f t="shared" si="6"/>
        <v>#DIV/0!</v>
      </c>
      <c r="H69" s="42"/>
      <c r="N69" s="39"/>
      <c r="Q69" s="39"/>
      <c r="R69" s="38"/>
    </row>
    <row r="70" spans="1:18" x14ac:dyDescent="0.25">
      <c r="A70" s="43">
        <v>0.39</v>
      </c>
      <c r="B70" s="43" t="e">
        <f t="shared" si="1"/>
        <v>#DIV/0!</v>
      </c>
      <c r="C70" s="43" t="e">
        <f t="shared" si="2"/>
        <v>#DIV/0!</v>
      </c>
      <c r="D70" s="43" t="e">
        <f t="shared" si="3"/>
        <v>#DIV/0!</v>
      </c>
      <c r="E70" s="43" t="e">
        <f t="shared" si="4"/>
        <v>#DIV/0!</v>
      </c>
      <c r="F70" s="43" t="e">
        <f t="shared" si="5"/>
        <v>#DIV/0!</v>
      </c>
      <c r="G70" s="43" t="e">
        <f t="shared" si="6"/>
        <v>#DIV/0!</v>
      </c>
      <c r="H70" s="42"/>
      <c r="N70" s="39"/>
      <c r="Q70" s="39"/>
      <c r="R70" s="38"/>
    </row>
    <row r="71" spans="1:18" x14ac:dyDescent="0.25">
      <c r="A71" s="43">
        <v>0.4</v>
      </c>
      <c r="B71" s="43" t="e">
        <f t="shared" si="1"/>
        <v>#DIV/0!</v>
      </c>
      <c r="C71" s="43" t="e">
        <f t="shared" si="2"/>
        <v>#DIV/0!</v>
      </c>
      <c r="D71" s="43" t="e">
        <f t="shared" si="3"/>
        <v>#DIV/0!</v>
      </c>
      <c r="E71" s="43" t="e">
        <f t="shared" si="4"/>
        <v>#DIV/0!</v>
      </c>
      <c r="F71" s="43" t="e">
        <f t="shared" si="5"/>
        <v>#DIV/0!</v>
      </c>
      <c r="G71" s="43" t="e">
        <f t="shared" si="6"/>
        <v>#DIV/0!</v>
      </c>
      <c r="H71" s="42"/>
      <c r="N71" s="39"/>
      <c r="Q71" s="39"/>
      <c r="R71" s="38"/>
    </row>
    <row r="72" spans="1:18" x14ac:dyDescent="0.25">
      <c r="A72" s="43">
        <v>0.41</v>
      </c>
      <c r="B72" s="43" t="e">
        <f t="shared" si="1"/>
        <v>#DIV/0!</v>
      </c>
      <c r="C72" s="43" t="e">
        <f t="shared" si="2"/>
        <v>#DIV/0!</v>
      </c>
      <c r="D72" s="43" t="e">
        <f t="shared" si="3"/>
        <v>#DIV/0!</v>
      </c>
      <c r="E72" s="43" t="e">
        <f t="shared" si="4"/>
        <v>#DIV/0!</v>
      </c>
      <c r="F72" s="43" t="e">
        <f t="shared" si="5"/>
        <v>#DIV/0!</v>
      </c>
      <c r="G72" s="43" t="e">
        <f t="shared" si="6"/>
        <v>#DIV/0!</v>
      </c>
      <c r="H72" s="42"/>
      <c r="N72" s="39"/>
      <c r="Q72" s="39"/>
      <c r="R72" s="38"/>
    </row>
    <row r="73" spans="1:18" x14ac:dyDescent="0.25">
      <c r="A73" s="43">
        <v>0.42</v>
      </c>
      <c r="B73" s="43" t="e">
        <f t="shared" si="1"/>
        <v>#DIV/0!</v>
      </c>
      <c r="C73" s="43" t="e">
        <f t="shared" si="2"/>
        <v>#DIV/0!</v>
      </c>
      <c r="D73" s="43" t="e">
        <f t="shared" si="3"/>
        <v>#DIV/0!</v>
      </c>
      <c r="E73" s="43" t="e">
        <f t="shared" si="4"/>
        <v>#DIV/0!</v>
      </c>
      <c r="F73" s="43" t="e">
        <f t="shared" si="5"/>
        <v>#DIV/0!</v>
      </c>
      <c r="G73" s="43" t="e">
        <f t="shared" si="6"/>
        <v>#DIV/0!</v>
      </c>
      <c r="H73" s="42"/>
      <c r="N73" s="39"/>
      <c r="Q73" s="39"/>
      <c r="R73" s="38"/>
    </row>
    <row r="74" spans="1:18" x14ac:dyDescent="0.25">
      <c r="A74" s="43">
        <v>0.43</v>
      </c>
      <c r="B74" s="43" t="e">
        <f t="shared" si="1"/>
        <v>#DIV/0!</v>
      </c>
      <c r="C74" s="43" t="e">
        <f t="shared" si="2"/>
        <v>#DIV/0!</v>
      </c>
      <c r="D74" s="43" t="e">
        <f t="shared" si="3"/>
        <v>#DIV/0!</v>
      </c>
      <c r="E74" s="43" t="e">
        <f t="shared" si="4"/>
        <v>#DIV/0!</v>
      </c>
      <c r="F74" s="43" t="e">
        <f t="shared" si="5"/>
        <v>#DIV/0!</v>
      </c>
      <c r="G74" s="43" t="e">
        <f t="shared" si="6"/>
        <v>#DIV/0!</v>
      </c>
      <c r="H74" s="42"/>
      <c r="N74" s="39"/>
      <c r="Q74" s="39"/>
      <c r="R74" s="38"/>
    </row>
    <row r="75" spans="1:18" x14ac:dyDescent="0.25">
      <c r="A75" s="43">
        <v>0.44</v>
      </c>
      <c r="B75" s="43" t="e">
        <f t="shared" si="1"/>
        <v>#DIV/0!</v>
      </c>
      <c r="C75" s="43" t="e">
        <f t="shared" si="2"/>
        <v>#DIV/0!</v>
      </c>
      <c r="D75" s="43" t="e">
        <f t="shared" si="3"/>
        <v>#DIV/0!</v>
      </c>
      <c r="E75" s="43" t="e">
        <f t="shared" si="4"/>
        <v>#DIV/0!</v>
      </c>
      <c r="F75" s="43" t="e">
        <f t="shared" si="5"/>
        <v>#DIV/0!</v>
      </c>
      <c r="G75" s="43" t="e">
        <f t="shared" si="6"/>
        <v>#DIV/0!</v>
      </c>
      <c r="H75" s="42"/>
      <c r="N75" s="39"/>
      <c r="Q75" s="39"/>
      <c r="R75" s="38"/>
    </row>
    <row r="76" spans="1:18" x14ac:dyDescent="0.25">
      <c r="A76" s="43">
        <v>0.45</v>
      </c>
      <c r="B76" s="43" t="e">
        <f t="shared" si="1"/>
        <v>#DIV/0!</v>
      </c>
      <c r="C76" s="43" t="e">
        <f t="shared" si="2"/>
        <v>#DIV/0!</v>
      </c>
      <c r="D76" s="43" t="e">
        <f t="shared" si="3"/>
        <v>#DIV/0!</v>
      </c>
      <c r="E76" s="43" t="e">
        <f t="shared" si="4"/>
        <v>#DIV/0!</v>
      </c>
      <c r="F76" s="43" t="e">
        <f t="shared" si="5"/>
        <v>#DIV/0!</v>
      </c>
      <c r="G76" s="43" t="e">
        <f t="shared" si="6"/>
        <v>#DIV/0!</v>
      </c>
      <c r="H76" s="42"/>
      <c r="N76" s="39"/>
      <c r="Q76" s="39"/>
      <c r="R76" s="38"/>
    </row>
    <row r="77" spans="1:18" x14ac:dyDescent="0.25">
      <c r="A77" s="43">
        <v>0.46</v>
      </c>
      <c r="B77" s="43" t="e">
        <f t="shared" si="1"/>
        <v>#DIV/0!</v>
      </c>
      <c r="C77" s="43" t="e">
        <f t="shared" si="2"/>
        <v>#DIV/0!</v>
      </c>
      <c r="D77" s="43" t="e">
        <f t="shared" si="3"/>
        <v>#DIV/0!</v>
      </c>
      <c r="E77" s="43" t="e">
        <f t="shared" si="4"/>
        <v>#DIV/0!</v>
      </c>
      <c r="F77" s="43" t="e">
        <f t="shared" si="5"/>
        <v>#DIV/0!</v>
      </c>
      <c r="G77" s="43" t="e">
        <f t="shared" si="6"/>
        <v>#DIV/0!</v>
      </c>
      <c r="H77" s="42"/>
      <c r="N77" s="39"/>
      <c r="Q77" s="39"/>
      <c r="R77" s="38"/>
    </row>
    <row r="78" spans="1:18" x14ac:dyDescent="0.25">
      <c r="A78" s="43">
        <v>0.47</v>
      </c>
      <c r="B78" s="43" t="e">
        <f t="shared" si="1"/>
        <v>#DIV/0!</v>
      </c>
      <c r="C78" s="43" t="e">
        <f t="shared" si="2"/>
        <v>#DIV/0!</v>
      </c>
      <c r="D78" s="43" t="e">
        <f t="shared" si="3"/>
        <v>#DIV/0!</v>
      </c>
      <c r="E78" s="43" t="e">
        <f t="shared" si="4"/>
        <v>#DIV/0!</v>
      </c>
      <c r="F78" s="43" t="e">
        <f t="shared" si="5"/>
        <v>#DIV/0!</v>
      </c>
      <c r="G78" s="43" t="e">
        <f t="shared" si="6"/>
        <v>#DIV/0!</v>
      </c>
      <c r="H78" s="42"/>
      <c r="N78" s="39"/>
      <c r="Q78" s="39"/>
      <c r="R78" s="38"/>
    </row>
    <row r="79" spans="1:18" x14ac:dyDescent="0.25">
      <c r="A79" s="43">
        <v>0.48</v>
      </c>
      <c r="B79" s="43" t="e">
        <f t="shared" si="1"/>
        <v>#DIV/0!</v>
      </c>
      <c r="C79" s="43" t="e">
        <f t="shared" si="2"/>
        <v>#DIV/0!</v>
      </c>
      <c r="D79" s="43" t="e">
        <f t="shared" si="3"/>
        <v>#DIV/0!</v>
      </c>
      <c r="E79" s="43" t="e">
        <f t="shared" si="4"/>
        <v>#DIV/0!</v>
      </c>
      <c r="F79" s="43" t="e">
        <f t="shared" si="5"/>
        <v>#DIV/0!</v>
      </c>
      <c r="G79" s="43" t="e">
        <f t="shared" si="6"/>
        <v>#DIV/0!</v>
      </c>
      <c r="H79" s="42"/>
      <c r="N79" s="39"/>
      <c r="Q79" s="39"/>
      <c r="R79" s="38"/>
    </row>
    <row r="80" spans="1:18" x14ac:dyDescent="0.25">
      <c r="A80" s="43">
        <v>0.49</v>
      </c>
      <c r="B80" s="43" t="e">
        <f t="shared" si="1"/>
        <v>#DIV/0!</v>
      </c>
      <c r="C80" s="43" t="e">
        <f t="shared" si="2"/>
        <v>#DIV/0!</v>
      </c>
      <c r="D80" s="43" t="e">
        <f t="shared" si="3"/>
        <v>#DIV/0!</v>
      </c>
      <c r="E80" s="43" t="e">
        <f t="shared" si="4"/>
        <v>#DIV/0!</v>
      </c>
      <c r="F80" s="43" t="e">
        <f t="shared" si="5"/>
        <v>#DIV/0!</v>
      </c>
      <c r="G80" s="43" t="e">
        <f t="shared" si="6"/>
        <v>#DIV/0!</v>
      </c>
      <c r="H80" s="42"/>
      <c r="N80" s="39"/>
      <c r="Q80" s="39"/>
      <c r="R80" s="38"/>
    </row>
    <row r="81" spans="1:18" x14ac:dyDescent="0.25">
      <c r="A81" s="43">
        <v>0.5</v>
      </c>
      <c r="B81" s="43" t="e">
        <f t="shared" si="1"/>
        <v>#DIV/0!</v>
      </c>
      <c r="C81" s="43" t="e">
        <f t="shared" si="2"/>
        <v>#DIV/0!</v>
      </c>
      <c r="D81" s="43" t="e">
        <f t="shared" si="3"/>
        <v>#DIV/0!</v>
      </c>
      <c r="E81" s="43" t="e">
        <f t="shared" si="4"/>
        <v>#DIV/0!</v>
      </c>
      <c r="F81" s="43" t="e">
        <f t="shared" si="5"/>
        <v>#DIV/0!</v>
      </c>
      <c r="G81" s="43" t="e">
        <f t="shared" si="6"/>
        <v>#DIV/0!</v>
      </c>
      <c r="H81" s="42"/>
      <c r="N81" s="39"/>
      <c r="Q81" s="39"/>
      <c r="R81" s="38"/>
    </row>
    <row r="82" spans="1:18" x14ac:dyDescent="0.25">
      <c r="A82" s="43">
        <v>0.51</v>
      </c>
      <c r="B82" s="43" t="e">
        <f t="shared" si="1"/>
        <v>#DIV/0!</v>
      </c>
      <c r="C82" s="43" t="e">
        <f t="shared" si="2"/>
        <v>#DIV/0!</v>
      </c>
      <c r="D82" s="43" t="e">
        <f t="shared" si="3"/>
        <v>#DIV/0!</v>
      </c>
      <c r="E82" s="43" t="e">
        <f t="shared" si="4"/>
        <v>#DIV/0!</v>
      </c>
      <c r="F82" s="43" t="e">
        <f t="shared" si="5"/>
        <v>#DIV/0!</v>
      </c>
      <c r="G82" s="43" t="e">
        <f t="shared" si="6"/>
        <v>#DIV/0!</v>
      </c>
      <c r="H82" s="42"/>
      <c r="N82" s="39"/>
      <c r="Q82" s="39"/>
      <c r="R82" s="38"/>
    </row>
    <row r="83" spans="1:18" x14ac:dyDescent="0.25">
      <c r="A83" s="43">
        <v>0.52</v>
      </c>
      <c r="B83" s="43" t="e">
        <f t="shared" si="1"/>
        <v>#DIV/0!</v>
      </c>
      <c r="C83" s="43" t="e">
        <f t="shared" si="2"/>
        <v>#DIV/0!</v>
      </c>
      <c r="D83" s="43" t="e">
        <f t="shared" si="3"/>
        <v>#DIV/0!</v>
      </c>
      <c r="E83" s="43" t="e">
        <f t="shared" si="4"/>
        <v>#DIV/0!</v>
      </c>
      <c r="F83" s="43" t="e">
        <f t="shared" si="5"/>
        <v>#DIV/0!</v>
      </c>
      <c r="G83" s="43" t="e">
        <f t="shared" si="6"/>
        <v>#DIV/0!</v>
      </c>
      <c r="H83" s="42"/>
      <c r="N83" s="39"/>
      <c r="Q83" s="39"/>
      <c r="R83" s="38"/>
    </row>
    <row r="84" spans="1:18" x14ac:dyDescent="0.25">
      <c r="A84" s="43">
        <v>0.53</v>
      </c>
      <c r="B84" s="43" t="e">
        <f t="shared" si="1"/>
        <v>#DIV/0!</v>
      </c>
      <c r="C84" s="43" t="e">
        <f t="shared" si="2"/>
        <v>#DIV/0!</v>
      </c>
      <c r="D84" s="43" t="e">
        <f t="shared" si="3"/>
        <v>#DIV/0!</v>
      </c>
      <c r="E84" s="43" t="e">
        <f t="shared" si="4"/>
        <v>#DIV/0!</v>
      </c>
      <c r="F84" s="43" t="e">
        <f t="shared" si="5"/>
        <v>#DIV/0!</v>
      </c>
      <c r="G84" s="43" t="e">
        <f t="shared" si="6"/>
        <v>#DIV/0!</v>
      </c>
      <c r="H84" s="42"/>
      <c r="N84" s="39"/>
      <c r="Q84" s="39"/>
      <c r="R84" s="38"/>
    </row>
    <row r="85" spans="1:18" x14ac:dyDescent="0.25">
      <c r="A85" s="43">
        <v>0.54</v>
      </c>
      <c r="B85" s="43" t="e">
        <f t="shared" si="1"/>
        <v>#DIV/0!</v>
      </c>
      <c r="C85" s="43" t="e">
        <f t="shared" si="2"/>
        <v>#DIV/0!</v>
      </c>
      <c r="D85" s="43" t="e">
        <f t="shared" si="3"/>
        <v>#DIV/0!</v>
      </c>
      <c r="E85" s="43" t="e">
        <f t="shared" si="4"/>
        <v>#DIV/0!</v>
      </c>
      <c r="F85" s="43" t="e">
        <f t="shared" si="5"/>
        <v>#DIV/0!</v>
      </c>
      <c r="G85" s="43" t="e">
        <f t="shared" si="6"/>
        <v>#DIV/0!</v>
      </c>
      <c r="H85" s="42"/>
      <c r="N85" s="39"/>
      <c r="Q85" s="39"/>
      <c r="R85" s="38"/>
    </row>
    <row r="86" spans="1:18" x14ac:dyDescent="0.25">
      <c r="A86" s="43">
        <v>0.55000000000000004</v>
      </c>
      <c r="B86" s="43" t="e">
        <f t="shared" si="1"/>
        <v>#DIV/0!</v>
      </c>
      <c r="C86" s="43" t="e">
        <f t="shared" si="2"/>
        <v>#DIV/0!</v>
      </c>
      <c r="D86" s="43" t="e">
        <f t="shared" si="3"/>
        <v>#DIV/0!</v>
      </c>
      <c r="E86" s="43" t="e">
        <f t="shared" si="4"/>
        <v>#DIV/0!</v>
      </c>
      <c r="F86" s="43" t="e">
        <f t="shared" si="5"/>
        <v>#DIV/0!</v>
      </c>
      <c r="G86" s="43" t="e">
        <f t="shared" si="6"/>
        <v>#DIV/0!</v>
      </c>
      <c r="H86" s="42"/>
      <c r="N86" s="39"/>
      <c r="Q86" s="39"/>
      <c r="R86" s="38"/>
    </row>
    <row r="87" spans="1:18" x14ac:dyDescent="0.25">
      <c r="A87" s="43">
        <v>0.56000000000000005</v>
      </c>
      <c r="B87" s="43" t="e">
        <f t="shared" si="1"/>
        <v>#DIV/0!</v>
      </c>
      <c r="C87" s="43" t="e">
        <f t="shared" si="2"/>
        <v>#DIV/0!</v>
      </c>
      <c r="D87" s="43" t="e">
        <f t="shared" si="3"/>
        <v>#DIV/0!</v>
      </c>
      <c r="E87" s="43" t="e">
        <f t="shared" si="4"/>
        <v>#DIV/0!</v>
      </c>
      <c r="F87" s="43" t="e">
        <f t="shared" si="5"/>
        <v>#DIV/0!</v>
      </c>
      <c r="G87" s="43" t="e">
        <f t="shared" si="6"/>
        <v>#DIV/0!</v>
      </c>
      <c r="H87" s="42"/>
      <c r="N87" s="39"/>
      <c r="Q87" s="39"/>
      <c r="R87" s="38"/>
    </row>
    <row r="88" spans="1:18" x14ac:dyDescent="0.25">
      <c r="A88" s="43">
        <v>0.56999999999999995</v>
      </c>
      <c r="B88" s="43" t="e">
        <f t="shared" si="1"/>
        <v>#DIV/0!</v>
      </c>
      <c r="C88" s="43" t="e">
        <f t="shared" si="2"/>
        <v>#DIV/0!</v>
      </c>
      <c r="D88" s="43" t="e">
        <f t="shared" si="3"/>
        <v>#DIV/0!</v>
      </c>
      <c r="E88" s="43" t="e">
        <f t="shared" si="4"/>
        <v>#DIV/0!</v>
      </c>
      <c r="F88" s="43" t="e">
        <f t="shared" si="5"/>
        <v>#DIV/0!</v>
      </c>
      <c r="G88" s="43" t="e">
        <f t="shared" si="6"/>
        <v>#DIV/0!</v>
      </c>
      <c r="H88" s="42"/>
      <c r="N88" s="39"/>
      <c r="Q88" s="39"/>
      <c r="R88" s="38"/>
    </row>
    <row r="89" spans="1:18" x14ac:dyDescent="0.25">
      <c r="A89" s="43">
        <v>0.57999999999999996</v>
      </c>
      <c r="B89" s="43" t="e">
        <f t="shared" si="1"/>
        <v>#DIV/0!</v>
      </c>
      <c r="C89" s="43" t="e">
        <f t="shared" si="2"/>
        <v>#DIV/0!</v>
      </c>
      <c r="D89" s="43" t="e">
        <f t="shared" si="3"/>
        <v>#DIV/0!</v>
      </c>
      <c r="E89" s="43" t="e">
        <f t="shared" si="4"/>
        <v>#DIV/0!</v>
      </c>
      <c r="F89" s="43" t="e">
        <f t="shared" si="5"/>
        <v>#DIV/0!</v>
      </c>
      <c r="G89" s="43" t="e">
        <f t="shared" si="6"/>
        <v>#DIV/0!</v>
      </c>
      <c r="H89" s="42"/>
      <c r="N89" s="39"/>
      <c r="Q89" s="39"/>
      <c r="R89" s="38"/>
    </row>
    <row r="90" spans="1:18" x14ac:dyDescent="0.25">
      <c r="A90" s="43">
        <v>0.59</v>
      </c>
      <c r="B90" s="43" t="e">
        <f t="shared" si="1"/>
        <v>#DIV/0!</v>
      </c>
      <c r="C90" s="43" t="e">
        <f t="shared" si="2"/>
        <v>#DIV/0!</v>
      </c>
      <c r="D90" s="43" t="e">
        <f t="shared" si="3"/>
        <v>#DIV/0!</v>
      </c>
      <c r="E90" s="43" t="e">
        <f t="shared" si="4"/>
        <v>#DIV/0!</v>
      </c>
      <c r="F90" s="43" t="e">
        <f t="shared" si="5"/>
        <v>#DIV/0!</v>
      </c>
      <c r="G90" s="43" t="e">
        <f t="shared" si="6"/>
        <v>#DIV/0!</v>
      </c>
      <c r="H90" s="42"/>
      <c r="N90" s="39"/>
      <c r="Q90" s="39"/>
      <c r="R90" s="38"/>
    </row>
    <row r="91" spans="1:18" x14ac:dyDescent="0.25">
      <c r="A91" s="43">
        <v>0.6</v>
      </c>
      <c r="B91" s="43" t="e">
        <f t="shared" si="1"/>
        <v>#DIV/0!</v>
      </c>
      <c r="C91" s="43" t="e">
        <f t="shared" si="2"/>
        <v>#DIV/0!</v>
      </c>
      <c r="D91" s="43" t="e">
        <f t="shared" si="3"/>
        <v>#DIV/0!</v>
      </c>
      <c r="E91" s="43" t="e">
        <f t="shared" si="4"/>
        <v>#DIV/0!</v>
      </c>
      <c r="F91" s="43" t="e">
        <f t="shared" si="5"/>
        <v>#DIV/0!</v>
      </c>
      <c r="G91" s="43" t="e">
        <f t="shared" si="6"/>
        <v>#DIV/0!</v>
      </c>
      <c r="H91" s="42"/>
      <c r="N91" s="39"/>
      <c r="Q91" s="39"/>
      <c r="R91" s="38"/>
    </row>
    <row r="92" spans="1:18" x14ac:dyDescent="0.25">
      <c r="A92" s="43">
        <v>0.61</v>
      </c>
      <c r="B92" s="43" t="e">
        <f t="shared" si="1"/>
        <v>#DIV/0!</v>
      </c>
      <c r="C92" s="43" t="e">
        <f t="shared" si="2"/>
        <v>#DIV/0!</v>
      </c>
      <c r="D92" s="43" t="e">
        <f t="shared" si="3"/>
        <v>#DIV/0!</v>
      </c>
      <c r="E92" s="43" t="e">
        <f t="shared" si="4"/>
        <v>#DIV/0!</v>
      </c>
      <c r="F92" s="43" t="e">
        <f t="shared" si="5"/>
        <v>#DIV/0!</v>
      </c>
      <c r="G92" s="43" t="e">
        <f t="shared" si="6"/>
        <v>#DIV/0!</v>
      </c>
      <c r="H92" s="42"/>
      <c r="N92" s="39"/>
      <c r="Q92" s="39"/>
      <c r="R92" s="38"/>
    </row>
    <row r="93" spans="1:18" x14ac:dyDescent="0.25">
      <c r="A93" s="43">
        <v>0.62</v>
      </c>
      <c r="B93" s="43" t="e">
        <f t="shared" si="1"/>
        <v>#DIV/0!</v>
      </c>
      <c r="C93" s="43" t="e">
        <f t="shared" si="2"/>
        <v>#DIV/0!</v>
      </c>
      <c r="D93" s="43" t="e">
        <f t="shared" si="3"/>
        <v>#DIV/0!</v>
      </c>
      <c r="E93" s="43" t="e">
        <f t="shared" si="4"/>
        <v>#DIV/0!</v>
      </c>
      <c r="F93" s="43" t="e">
        <f t="shared" si="5"/>
        <v>#DIV/0!</v>
      </c>
      <c r="G93" s="43" t="e">
        <f t="shared" si="6"/>
        <v>#DIV/0!</v>
      </c>
      <c r="H93" s="42"/>
      <c r="N93" s="39"/>
      <c r="Q93" s="39"/>
      <c r="R93" s="38"/>
    </row>
    <row r="94" spans="1:18" x14ac:dyDescent="0.25">
      <c r="A94" s="43">
        <v>0.63</v>
      </c>
      <c r="B94" s="43" t="e">
        <f t="shared" si="1"/>
        <v>#DIV/0!</v>
      </c>
      <c r="C94" s="43" t="e">
        <f t="shared" si="2"/>
        <v>#DIV/0!</v>
      </c>
      <c r="D94" s="43" t="e">
        <f t="shared" si="3"/>
        <v>#DIV/0!</v>
      </c>
      <c r="E94" s="43" t="e">
        <f t="shared" si="4"/>
        <v>#DIV/0!</v>
      </c>
      <c r="F94" s="43" t="e">
        <f t="shared" si="5"/>
        <v>#DIV/0!</v>
      </c>
      <c r="G94" s="43" t="e">
        <f t="shared" si="6"/>
        <v>#DIV/0!</v>
      </c>
      <c r="H94" s="42"/>
      <c r="N94" s="39"/>
      <c r="Q94" s="39"/>
      <c r="R94" s="38"/>
    </row>
    <row r="95" spans="1:18" x14ac:dyDescent="0.25">
      <c r="A95" s="43">
        <v>0.64</v>
      </c>
      <c r="B95" s="43" t="e">
        <f t="shared" si="1"/>
        <v>#DIV/0!</v>
      </c>
      <c r="C95" s="43" t="e">
        <f t="shared" si="2"/>
        <v>#DIV/0!</v>
      </c>
      <c r="D95" s="43" t="e">
        <f t="shared" si="3"/>
        <v>#DIV/0!</v>
      </c>
      <c r="E95" s="43" t="e">
        <f t="shared" si="4"/>
        <v>#DIV/0!</v>
      </c>
      <c r="F95" s="43" t="e">
        <f t="shared" si="5"/>
        <v>#DIV/0!</v>
      </c>
      <c r="G95" s="43" t="e">
        <f t="shared" ref="G95:G126" si="7">ABS(F95-A95)</f>
        <v>#DIV/0!</v>
      </c>
      <c r="H95" s="42"/>
      <c r="N95" s="39"/>
      <c r="Q95" s="39"/>
      <c r="R95" s="38"/>
    </row>
    <row r="96" spans="1:18" x14ac:dyDescent="0.25">
      <c r="A96" s="43">
        <v>0.65</v>
      </c>
      <c r="B96" s="43" t="e">
        <f t="shared" ref="B96:B131" si="8">_xlfn.FORECAST.LINEAR(A96,$B$6:$B$11,$A$6:$A$11)</f>
        <v>#DIV/0!</v>
      </c>
      <c r="C96" s="43" t="e">
        <f t="shared" ref="C96:C131" si="9">_xlfn.FORECAST.LINEAR(B96,$A$6:$A$11,$D$6:$D$11)</f>
        <v>#DIV/0!</v>
      </c>
      <c r="D96" s="43" t="e">
        <f t="shared" ref="D96:D131" si="10">ABS(C96-A96)</f>
        <v>#DIV/0!</v>
      </c>
      <c r="E96" s="43" t="e">
        <f t="shared" ref="E96:E131" si="11">_xlfn.FORECAST.LINEAR(A96,$D$6:$D$11,$A$6:$A$11)</f>
        <v>#DIV/0!</v>
      </c>
      <c r="F96" s="43" t="e">
        <f t="shared" ref="F96:F131" si="12">_xlfn.FORECAST.LINEAR(E96,$A$6:$A$11,$B$6:$B$11)</f>
        <v>#DIV/0!</v>
      </c>
      <c r="G96" s="43" t="e">
        <f t="shared" si="7"/>
        <v>#DIV/0!</v>
      </c>
      <c r="H96" s="42"/>
      <c r="N96" s="39"/>
      <c r="Q96" s="39"/>
      <c r="R96" s="38"/>
    </row>
    <row r="97" spans="1:18" x14ac:dyDescent="0.25">
      <c r="A97" s="43">
        <v>0.66</v>
      </c>
      <c r="B97" s="43" t="e">
        <f t="shared" si="8"/>
        <v>#DIV/0!</v>
      </c>
      <c r="C97" s="43" t="e">
        <f t="shared" si="9"/>
        <v>#DIV/0!</v>
      </c>
      <c r="D97" s="43" t="e">
        <f t="shared" si="10"/>
        <v>#DIV/0!</v>
      </c>
      <c r="E97" s="43" t="e">
        <f t="shared" si="11"/>
        <v>#DIV/0!</v>
      </c>
      <c r="F97" s="43" t="e">
        <f t="shared" si="12"/>
        <v>#DIV/0!</v>
      </c>
      <c r="G97" s="43" t="e">
        <f t="shared" si="7"/>
        <v>#DIV/0!</v>
      </c>
      <c r="H97" s="42"/>
      <c r="N97" s="39"/>
      <c r="Q97" s="39"/>
      <c r="R97" s="38"/>
    </row>
    <row r="98" spans="1:18" x14ac:dyDescent="0.25">
      <c r="A98" s="43">
        <v>0.67</v>
      </c>
      <c r="B98" s="43" t="e">
        <f t="shared" si="8"/>
        <v>#DIV/0!</v>
      </c>
      <c r="C98" s="43" t="e">
        <f t="shared" si="9"/>
        <v>#DIV/0!</v>
      </c>
      <c r="D98" s="43" t="e">
        <f t="shared" si="10"/>
        <v>#DIV/0!</v>
      </c>
      <c r="E98" s="43" t="e">
        <f t="shared" si="11"/>
        <v>#DIV/0!</v>
      </c>
      <c r="F98" s="43" t="e">
        <f t="shared" si="12"/>
        <v>#DIV/0!</v>
      </c>
      <c r="G98" s="43" t="e">
        <f t="shared" si="7"/>
        <v>#DIV/0!</v>
      </c>
      <c r="H98" s="42"/>
      <c r="N98" s="39"/>
      <c r="Q98" s="39"/>
      <c r="R98" s="38"/>
    </row>
    <row r="99" spans="1:18" x14ac:dyDescent="0.25">
      <c r="A99" s="43">
        <v>0.68</v>
      </c>
      <c r="B99" s="43" t="e">
        <f t="shared" si="8"/>
        <v>#DIV/0!</v>
      </c>
      <c r="C99" s="43" t="e">
        <f t="shared" si="9"/>
        <v>#DIV/0!</v>
      </c>
      <c r="D99" s="43" t="e">
        <f t="shared" si="10"/>
        <v>#DIV/0!</v>
      </c>
      <c r="E99" s="43" t="e">
        <f t="shared" si="11"/>
        <v>#DIV/0!</v>
      </c>
      <c r="F99" s="43" t="e">
        <f t="shared" si="12"/>
        <v>#DIV/0!</v>
      </c>
      <c r="G99" s="43" t="e">
        <f t="shared" si="7"/>
        <v>#DIV/0!</v>
      </c>
      <c r="H99" s="42"/>
      <c r="N99" s="39"/>
      <c r="Q99" s="39"/>
      <c r="R99" s="38"/>
    </row>
    <row r="100" spans="1:18" x14ac:dyDescent="0.25">
      <c r="A100" s="43">
        <v>0.69</v>
      </c>
      <c r="B100" s="43" t="e">
        <f t="shared" si="8"/>
        <v>#DIV/0!</v>
      </c>
      <c r="C100" s="43" t="e">
        <f t="shared" si="9"/>
        <v>#DIV/0!</v>
      </c>
      <c r="D100" s="43" t="e">
        <f t="shared" si="10"/>
        <v>#DIV/0!</v>
      </c>
      <c r="E100" s="43" t="e">
        <f t="shared" si="11"/>
        <v>#DIV/0!</v>
      </c>
      <c r="F100" s="43" t="e">
        <f t="shared" si="12"/>
        <v>#DIV/0!</v>
      </c>
      <c r="G100" s="43" t="e">
        <f t="shared" si="7"/>
        <v>#DIV/0!</v>
      </c>
      <c r="H100" s="42"/>
      <c r="N100" s="39"/>
      <c r="Q100" s="39"/>
      <c r="R100" s="38"/>
    </row>
    <row r="101" spans="1:18" x14ac:dyDescent="0.25">
      <c r="A101" s="43">
        <v>0.7</v>
      </c>
      <c r="B101" s="43" t="e">
        <f t="shared" si="8"/>
        <v>#DIV/0!</v>
      </c>
      <c r="C101" s="43" t="e">
        <f t="shared" si="9"/>
        <v>#DIV/0!</v>
      </c>
      <c r="D101" s="43" t="e">
        <f t="shared" si="10"/>
        <v>#DIV/0!</v>
      </c>
      <c r="E101" s="43" t="e">
        <f t="shared" si="11"/>
        <v>#DIV/0!</v>
      </c>
      <c r="F101" s="43" t="e">
        <f t="shared" si="12"/>
        <v>#DIV/0!</v>
      </c>
      <c r="G101" s="43" t="e">
        <f t="shared" si="7"/>
        <v>#DIV/0!</v>
      </c>
      <c r="H101" s="42"/>
      <c r="N101" s="39"/>
      <c r="Q101" s="39"/>
      <c r="R101" s="38"/>
    </row>
    <row r="102" spans="1:18" x14ac:dyDescent="0.25">
      <c r="A102" s="43">
        <v>0.71</v>
      </c>
      <c r="B102" s="43" t="e">
        <f t="shared" si="8"/>
        <v>#DIV/0!</v>
      </c>
      <c r="C102" s="43" t="e">
        <f t="shared" si="9"/>
        <v>#DIV/0!</v>
      </c>
      <c r="D102" s="43" t="e">
        <f t="shared" si="10"/>
        <v>#DIV/0!</v>
      </c>
      <c r="E102" s="43" t="e">
        <f t="shared" si="11"/>
        <v>#DIV/0!</v>
      </c>
      <c r="F102" s="43" t="e">
        <f t="shared" si="12"/>
        <v>#DIV/0!</v>
      </c>
      <c r="G102" s="43" t="e">
        <f t="shared" si="7"/>
        <v>#DIV/0!</v>
      </c>
      <c r="H102" s="42"/>
      <c r="N102" s="39"/>
      <c r="Q102" s="39"/>
      <c r="R102" s="38"/>
    </row>
    <row r="103" spans="1:18" x14ac:dyDescent="0.25">
      <c r="A103" s="43">
        <v>0.72</v>
      </c>
      <c r="B103" s="43" t="e">
        <f t="shared" si="8"/>
        <v>#DIV/0!</v>
      </c>
      <c r="C103" s="43" t="e">
        <f t="shared" si="9"/>
        <v>#DIV/0!</v>
      </c>
      <c r="D103" s="43" t="e">
        <f t="shared" si="10"/>
        <v>#DIV/0!</v>
      </c>
      <c r="E103" s="43" t="e">
        <f t="shared" si="11"/>
        <v>#DIV/0!</v>
      </c>
      <c r="F103" s="43" t="e">
        <f t="shared" si="12"/>
        <v>#DIV/0!</v>
      </c>
      <c r="G103" s="43" t="e">
        <f t="shared" si="7"/>
        <v>#DIV/0!</v>
      </c>
      <c r="H103" s="42"/>
      <c r="N103" s="39"/>
      <c r="Q103" s="39"/>
      <c r="R103" s="38"/>
    </row>
    <row r="104" spans="1:18" x14ac:dyDescent="0.25">
      <c r="A104" s="43">
        <v>0.73</v>
      </c>
      <c r="B104" s="43" t="e">
        <f t="shared" si="8"/>
        <v>#DIV/0!</v>
      </c>
      <c r="C104" s="43" t="e">
        <f t="shared" si="9"/>
        <v>#DIV/0!</v>
      </c>
      <c r="D104" s="43" t="e">
        <f t="shared" si="10"/>
        <v>#DIV/0!</v>
      </c>
      <c r="E104" s="43" t="e">
        <f t="shared" si="11"/>
        <v>#DIV/0!</v>
      </c>
      <c r="F104" s="43" t="e">
        <f t="shared" si="12"/>
        <v>#DIV/0!</v>
      </c>
      <c r="G104" s="43" t="e">
        <f t="shared" si="7"/>
        <v>#DIV/0!</v>
      </c>
      <c r="H104" s="42"/>
      <c r="N104" s="39"/>
      <c r="Q104" s="39"/>
      <c r="R104" s="38"/>
    </row>
    <row r="105" spans="1:18" x14ac:dyDescent="0.25">
      <c r="A105" s="43">
        <v>0.74</v>
      </c>
      <c r="B105" s="43" t="e">
        <f t="shared" si="8"/>
        <v>#DIV/0!</v>
      </c>
      <c r="C105" s="43" t="e">
        <f t="shared" si="9"/>
        <v>#DIV/0!</v>
      </c>
      <c r="D105" s="43" t="e">
        <f t="shared" si="10"/>
        <v>#DIV/0!</v>
      </c>
      <c r="E105" s="43" t="e">
        <f t="shared" si="11"/>
        <v>#DIV/0!</v>
      </c>
      <c r="F105" s="43" t="e">
        <f t="shared" si="12"/>
        <v>#DIV/0!</v>
      </c>
      <c r="G105" s="43" t="e">
        <f t="shared" si="7"/>
        <v>#DIV/0!</v>
      </c>
      <c r="H105" s="42"/>
      <c r="N105" s="39"/>
      <c r="Q105" s="39"/>
      <c r="R105" s="38"/>
    </row>
    <row r="106" spans="1:18" x14ac:dyDescent="0.25">
      <c r="A106" s="43">
        <v>0.75</v>
      </c>
      <c r="B106" s="43" t="e">
        <f t="shared" si="8"/>
        <v>#DIV/0!</v>
      </c>
      <c r="C106" s="43" t="e">
        <f t="shared" si="9"/>
        <v>#DIV/0!</v>
      </c>
      <c r="D106" s="43" t="e">
        <f t="shared" si="10"/>
        <v>#DIV/0!</v>
      </c>
      <c r="E106" s="43" t="e">
        <f t="shared" si="11"/>
        <v>#DIV/0!</v>
      </c>
      <c r="F106" s="43" t="e">
        <f t="shared" si="12"/>
        <v>#DIV/0!</v>
      </c>
      <c r="G106" s="43" t="e">
        <f t="shared" si="7"/>
        <v>#DIV/0!</v>
      </c>
      <c r="H106" s="42"/>
      <c r="N106" s="39"/>
      <c r="Q106" s="39"/>
      <c r="R106" s="38"/>
    </row>
    <row r="107" spans="1:18" x14ac:dyDescent="0.25">
      <c r="A107" s="43">
        <v>0.76</v>
      </c>
      <c r="B107" s="43" t="e">
        <f t="shared" si="8"/>
        <v>#DIV/0!</v>
      </c>
      <c r="C107" s="43" t="e">
        <f t="shared" si="9"/>
        <v>#DIV/0!</v>
      </c>
      <c r="D107" s="43" t="e">
        <f t="shared" si="10"/>
        <v>#DIV/0!</v>
      </c>
      <c r="E107" s="43" t="e">
        <f t="shared" si="11"/>
        <v>#DIV/0!</v>
      </c>
      <c r="F107" s="43" t="e">
        <f t="shared" si="12"/>
        <v>#DIV/0!</v>
      </c>
      <c r="G107" s="43" t="e">
        <f t="shared" si="7"/>
        <v>#DIV/0!</v>
      </c>
      <c r="H107" s="42"/>
      <c r="N107" s="39"/>
      <c r="Q107" s="39"/>
      <c r="R107" s="38"/>
    </row>
    <row r="108" spans="1:18" x14ac:dyDescent="0.25">
      <c r="A108" s="43">
        <v>0.77</v>
      </c>
      <c r="B108" s="43" t="e">
        <f t="shared" si="8"/>
        <v>#DIV/0!</v>
      </c>
      <c r="C108" s="43" t="e">
        <f t="shared" si="9"/>
        <v>#DIV/0!</v>
      </c>
      <c r="D108" s="43" t="e">
        <f t="shared" si="10"/>
        <v>#DIV/0!</v>
      </c>
      <c r="E108" s="43" t="e">
        <f t="shared" si="11"/>
        <v>#DIV/0!</v>
      </c>
      <c r="F108" s="43" t="e">
        <f t="shared" si="12"/>
        <v>#DIV/0!</v>
      </c>
      <c r="G108" s="43" t="e">
        <f t="shared" si="7"/>
        <v>#DIV/0!</v>
      </c>
      <c r="H108" s="42"/>
      <c r="N108" s="39"/>
      <c r="Q108" s="39"/>
      <c r="R108" s="38"/>
    </row>
    <row r="109" spans="1:18" x14ac:dyDescent="0.25">
      <c r="A109" s="43">
        <v>0.78</v>
      </c>
      <c r="B109" s="43" t="e">
        <f t="shared" si="8"/>
        <v>#DIV/0!</v>
      </c>
      <c r="C109" s="43" t="e">
        <f t="shared" si="9"/>
        <v>#DIV/0!</v>
      </c>
      <c r="D109" s="43" t="e">
        <f t="shared" si="10"/>
        <v>#DIV/0!</v>
      </c>
      <c r="E109" s="43" t="e">
        <f t="shared" si="11"/>
        <v>#DIV/0!</v>
      </c>
      <c r="F109" s="43" t="e">
        <f t="shared" si="12"/>
        <v>#DIV/0!</v>
      </c>
      <c r="G109" s="43" t="e">
        <f t="shared" si="7"/>
        <v>#DIV/0!</v>
      </c>
      <c r="H109" s="42"/>
      <c r="N109" s="39"/>
      <c r="Q109" s="39"/>
      <c r="R109" s="38"/>
    </row>
    <row r="110" spans="1:18" x14ac:dyDescent="0.25">
      <c r="A110" s="43">
        <v>0.79</v>
      </c>
      <c r="B110" s="43" t="e">
        <f t="shared" si="8"/>
        <v>#DIV/0!</v>
      </c>
      <c r="C110" s="43" t="e">
        <f t="shared" si="9"/>
        <v>#DIV/0!</v>
      </c>
      <c r="D110" s="43" t="e">
        <f t="shared" si="10"/>
        <v>#DIV/0!</v>
      </c>
      <c r="E110" s="43" t="e">
        <f t="shared" si="11"/>
        <v>#DIV/0!</v>
      </c>
      <c r="F110" s="43" t="e">
        <f t="shared" si="12"/>
        <v>#DIV/0!</v>
      </c>
      <c r="G110" s="43" t="e">
        <f t="shared" si="7"/>
        <v>#DIV/0!</v>
      </c>
      <c r="H110" s="42"/>
      <c r="N110" s="39"/>
      <c r="Q110" s="39"/>
      <c r="R110" s="38"/>
    </row>
    <row r="111" spans="1:18" x14ac:dyDescent="0.25">
      <c r="A111" s="43">
        <v>0.8</v>
      </c>
      <c r="B111" s="43" t="e">
        <f t="shared" si="8"/>
        <v>#DIV/0!</v>
      </c>
      <c r="C111" s="43" t="e">
        <f t="shared" si="9"/>
        <v>#DIV/0!</v>
      </c>
      <c r="D111" s="43" t="e">
        <f t="shared" si="10"/>
        <v>#DIV/0!</v>
      </c>
      <c r="E111" s="43" t="e">
        <f t="shared" si="11"/>
        <v>#DIV/0!</v>
      </c>
      <c r="F111" s="43" t="e">
        <f t="shared" si="12"/>
        <v>#DIV/0!</v>
      </c>
      <c r="G111" s="43" t="e">
        <f t="shared" si="7"/>
        <v>#DIV/0!</v>
      </c>
      <c r="H111" s="42"/>
      <c r="N111" s="39"/>
      <c r="Q111" s="39"/>
      <c r="R111" s="38"/>
    </row>
    <row r="112" spans="1:18" x14ac:dyDescent="0.25">
      <c r="A112" s="43">
        <v>0.81</v>
      </c>
      <c r="B112" s="43" t="e">
        <f t="shared" si="8"/>
        <v>#DIV/0!</v>
      </c>
      <c r="C112" s="43" t="e">
        <f t="shared" si="9"/>
        <v>#DIV/0!</v>
      </c>
      <c r="D112" s="43" t="e">
        <f t="shared" si="10"/>
        <v>#DIV/0!</v>
      </c>
      <c r="E112" s="43" t="e">
        <f t="shared" si="11"/>
        <v>#DIV/0!</v>
      </c>
      <c r="F112" s="43" t="e">
        <f t="shared" si="12"/>
        <v>#DIV/0!</v>
      </c>
      <c r="G112" s="43" t="e">
        <f t="shared" si="7"/>
        <v>#DIV/0!</v>
      </c>
      <c r="H112" s="42"/>
      <c r="N112" s="39"/>
      <c r="Q112" s="39"/>
      <c r="R112" s="38"/>
    </row>
    <row r="113" spans="1:18" x14ac:dyDescent="0.25">
      <c r="A113" s="43">
        <v>0.82</v>
      </c>
      <c r="B113" s="43" t="e">
        <f t="shared" si="8"/>
        <v>#DIV/0!</v>
      </c>
      <c r="C113" s="43" t="e">
        <f t="shared" si="9"/>
        <v>#DIV/0!</v>
      </c>
      <c r="D113" s="43" t="e">
        <f t="shared" si="10"/>
        <v>#DIV/0!</v>
      </c>
      <c r="E113" s="43" t="e">
        <f t="shared" si="11"/>
        <v>#DIV/0!</v>
      </c>
      <c r="F113" s="43" t="e">
        <f t="shared" si="12"/>
        <v>#DIV/0!</v>
      </c>
      <c r="G113" s="43" t="e">
        <f t="shared" si="7"/>
        <v>#DIV/0!</v>
      </c>
      <c r="H113" s="42"/>
      <c r="N113" s="39"/>
      <c r="Q113" s="39"/>
      <c r="R113" s="38"/>
    </row>
    <row r="114" spans="1:18" x14ac:dyDescent="0.25">
      <c r="A114" s="43">
        <v>0.83</v>
      </c>
      <c r="B114" s="43" t="e">
        <f t="shared" si="8"/>
        <v>#DIV/0!</v>
      </c>
      <c r="C114" s="43" t="e">
        <f t="shared" si="9"/>
        <v>#DIV/0!</v>
      </c>
      <c r="D114" s="43" t="e">
        <f t="shared" si="10"/>
        <v>#DIV/0!</v>
      </c>
      <c r="E114" s="43" t="e">
        <f t="shared" si="11"/>
        <v>#DIV/0!</v>
      </c>
      <c r="F114" s="43" t="e">
        <f t="shared" si="12"/>
        <v>#DIV/0!</v>
      </c>
      <c r="G114" s="43" t="e">
        <f t="shared" si="7"/>
        <v>#DIV/0!</v>
      </c>
      <c r="H114" s="42"/>
      <c r="N114" s="39"/>
      <c r="Q114" s="39"/>
      <c r="R114" s="38"/>
    </row>
    <row r="115" spans="1:18" x14ac:dyDescent="0.25">
      <c r="A115" s="43">
        <v>0.84</v>
      </c>
      <c r="B115" s="43" t="e">
        <f t="shared" si="8"/>
        <v>#DIV/0!</v>
      </c>
      <c r="C115" s="43" t="e">
        <f t="shared" si="9"/>
        <v>#DIV/0!</v>
      </c>
      <c r="D115" s="43" t="e">
        <f t="shared" si="10"/>
        <v>#DIV/0!</v>
      </c>
      <c r="E115" s="43" t="e">
        <f t="shared" si="11"/>
        <v>#DIV/0!</v>
      </c>
      <c r="F115" s="43" t="e">
        <f t="shared" si="12"/>
        <v>#DIV/0!</v>
      </c>
      <c r="G115" s="43" t="e">
        <f t="shared" si="7"/>
        <v>#DIV/0!</v>
      </c>
      <c r="H115" s="42"/>
      <c r="N115" s="39"/>
      <c r="Q115" s="39"/>
      <c r="R115" s="38"/>
    </row>
    <row r="116" spans="1:18" x14ac:dyDescent="0.25">
      <c r="A116" s="43">
        <v>0.85</v>
      </c>
      <c r="B116" s="43" t="e">
        <f t="shared" si="8"/>
        <v>#DIV/0!</v>
      </c>
      <c r="C116" s="43" t="e">
        <f t="shared" si="9"/>
        <v>#DIV/0!</v>
      </c>
      <c r="D116" s="43" t="e">
        <f t="shared" si="10"/>
        <v>#DIV/0!</v>
      </c>
      <c r="E116" s="43" t="e">
        <f t="shared" si="11"/>
        <v>#DIV/0!</v>
      </c>
      <c r="F116" s="43" t="e">
        <f t="shared" si="12"/>
        <v>#DIV/0!</v>
      </c>
      <c r="G116" s="43" t="e">
        <f t="shared" si="7"/>
        <v>#DIV/0!</v>
      </c>
      <c r="H116" s="42"/>
      <c r="N116" s="39"/>
      <c r="Q116" s="39"/>
      <c r="R116" s="38"/>
    </row>
    <row r="117" spans="1:18" x14ac:dyDescent="0.25">
      <c r="A117" s="43">
        <v>0.86</v>
      </c>
      <c r="B117" s="43" t="e">
        <f t="shared" si="8"/>
        <v>#DIV/0!</v>
      </c>
      <c r="C117" s="43" t="e">
        <f t="shared" si="9"/>
        <v>#DIV/0!</v>
      </c>
      <c r="D117" s="43" t="e">
        <f t="shared" si="10"/>
        <v>#DIV/0!</v>
      </c>
      <c r="E117" s="43" t="e">
        <f t="shared" si="11"/>
        <v>#DIV/0!</v>
      </c>
      <c r="F117" s="43" t="e">
        <f t="shared" si="12"/>
        <v>#DIV/0!</v>
      </c>
      <c r="G117" s="43" t="e">
        <f t="shared" si="7"/>
        <v>#DIV/0!</v>
      </c>
      <c r="H117" s="42"/>
      <c r="N117" s="39"/>
      <c r="Q117" s="39"/>
      <c r="R117" s="38"/>
    </row>
    <row r="118" spans="1:18" x14ac:dyDescent="0.25">
      <c r="A118" s="43">
        <v>0.87</v>
      </c>
      <c r="B118" s="43" t="e">
        <f t="shared" si="8"/>
        <v>#DIV/0!</v>
      </c>
      <c r="C118" s="43" t="e">
        <f t="shared" si="9"/>
        <v>#DIV/0!</v>
      </c>
      <c r="D118" s="43" t="e">
        <f t="shared" si="10"/>
        <v>#DIV/0!</v>
      </c>
      <c r="E118" s="43" t="e">
        <f t="shared" si="11"/>
        <v>#DIV/0!</v>
      </c>
      <c r="F118" s="43" t="e">
        <f t="shared" si="12"/>
        <v>#DIV/0!</v>
      </c>
      <c r="G118" s="43" t="e">
        <f t="shared" si="7"/>
        <v>#DIV/0!</v>
      </c>
      <c r="H118" s="42"/>
      <c r="N118" s="39"/>
      <c r="Q118" s="39"/>
      <c r="R118" s="38"/>
    </row>
    <row r="119" spans="1:18" x14ac:dyDescent="0.25">
      <c r="A119" s="43">
        <v>0.88</v>
      </c>
      <c r="B119" s="43" t="e">
        <f t="shared" si="8"/>
        <v>#DIV/0!</v>
      </c>
      <c r="C119" s="43" t="e">
        <f t="shared" si="9"/>
        <v>#DIV/0!</v>
      </c>
      <c r="D119" s="43" t="e">
        <f t="shared" si="10"/>
        <v>#DIV/0!</v>
      </c>
      <c r="E119" s="43" t="e">
        <f t="shared" si="11"/>
        <v>#DIV/0!</v>
      </c>
      <c r="F119" s="43" t="e">
        <f t="shared" si="12"/>
        <v>#DIV/0!</v>
      </c>
      <c r="G119" s="43" t="e">
        <f t="shared" si="7"/>
        <v>#DIV/0!</v>
      </c>
      <c r="H119" s="42"/>
    </row>
    <row r="120" spans="1:18" x14ac:dyDescent="0.25">
      <c r="A120" s="43">
        <v>0.89</v>
      </c>
      <c r="B120" s="43" t="e">
        <f t="shared" si="8"/>
        <v>#DIV/0!</v>
      </c>
      <c r="C120" s="43" t="e">
        <f t="shared" si="9"/>
        <v>#DIV/0!</v>
      </c>
      <c r="D120" s="43" t="e">
        <f t="shared" si="10"/>
        <v>#DIV/0!</v>
      </c>
      <c r="E120" s="43" t="e">
        <f t="shared" si="11"/>
        <v>#DIV/0!</v>
      </c>
      <c r="F120" s="43" t="e">
        <f t="shared" si="12"/>
        <v>#DIV/0!</v>
      </c>
      <c r="G120" s="43" t="e">
        <f t="shared" si="7"/>
        <v>#DIV/0!</v>
      </c>
      <c r="H120" s="42"/>
    </row>
    <row r="121" spans="1:18" x14ac:dyDescent="0.25">
      <c r="A121" s="43">
        <v>0.9</v>
      </c>
      <c r="B121" s="43" t="e">
        <f t="shared" si="8"/>
        <v>#DIV/0!</v>
      </c>
      <c r="C121" s="43" t="e">
        <f t="shared" si="9"/>
        <v>#DIV/0!</v>
      </c>
      <c r="D121" s="43" t="e">
        <f t="shared" si="10"/>
        <v>#DIV/0!</v>
      </c>
      <c r="E121" s="43" t="e">
        <f t="shared" si="11"/>
        <v>#DIV/0!</v>
      </c>
      <c r="F121" s="43" t="e">
        <f t="shared" si="12"/>
        <v>#DIV/0!</v>
      </c>
      <c r="G121" s="43" t="e">
        <f t="shared" si="7"/>
        <v>#DIV/0!</v>
      </c>
      <c r="H121" s="42"/>
    </row>
    <row r="122" spans="1:18" x14ac:dyDescent="0.25">
      <c r="A122" s="43">
        <v>0.91</v>
      </c>
      <c r="B122" s="43" t="e">
        <f t="shared" si="8"/>
        <v>#DIV/0!</v>
      </c>
      <c r="C122" s="43" t="e">
        <f t="shared" si="9"/>
        <v>#DIV/0!</v>
      </c>
      <c r="D122" s="43" t="e">
        <f t="shared" si="10"/>
        <v>#DIV/0!</v>
      </c>
      <c r="E122" s="43" t="e">
        <f t="shared" si="11"/>
        <v>#DIV/0!</v>
      </c>
      <c r="F122" s="43" t="e">
        <f t="shared" si="12"/>
        <v>#DIV/0!</v>
      </c>
      <c r="G122" s="43" t="e">
        <f t="shared" si="7"/>
        <v>#DIV/0!</v>
      </c>
      <c r="H122" s="42"/>
    </row>
    <row r="123" spans="1:18" x14ac:dyDescent="0.25">
      <c r="A123" s="43">
        <v>0.92</v>
      </c>
      <c r="B123" s="43" t="e">
        <f t="shared" si="8"/>
        <v>#DIV/0!</v>
      </c>
      <c r="C123" s="43" t="e">
        <f t="shared" si="9"/>
        <v>#DIV/0!</v>
      </c>
      <c r="D123" s="43" t="e">
        <f t="shared" si="10"/>
        <v>#DIV/0!</v>
      </c>
      <c r="E123" s="43" t="e">
        <f t="shared" si="11"/>
        <v>#DIV/0!</v>
      </c>
      <c r="F123" s="43" t="e">
        <f t="shared" si="12"/>
        <v>#DIV/0!</v>
      </c>
      <c r="G123" s="43" t="e">
        <f t="shared" si="7"/>
        <v>#DIV/0!</v>
      </c>
      <c r="H123" s="42"/>
    </row>
    <row r="124" spans="1:18" x14ac:dyDescent="0.25">
      <c r="A124" s="43">
        <v>0.93</v>
      </c>
      <c r="B124" s="43" t="e">
        <f t="shared" si="8"/>
        <v>#DIV/0!</v>
      </c>
      <c r="C124" s="43" t="e">
        <f t="shared" si="9"/>
        <v>#DIV/0!</v>
      </c>
      <c r="D124" s="43" t="e">
        <f t="shared" si="10"/>
        <v>#DIV/0!</v>
      </c>
      <c r="E124" s="43" t="e">
        <f t="shared" si="11"/>
        <v>#DIV/0!</v>
      </c>
      <c r="F124" s="43" t="e">
        <f t="shared" si="12"/>
        <v>#DIV/0!</v>
      </c>
      <c r="G124" s="43" t="e">
        <f t="shared" si="7"/>
        <v>#DIV/0!</v>
      </c>
      <c r="H124" s="42"/>
    </row>
    <row r="125" spans="1:18" x14ac:dyDescent="0.25">
      <c r="A125" s="43">
        <v>0.94</v>
      </c>
      <c r="B125" s="43" t="e">
        <f t="shared" si="8"/>
        <v>#DIV/0!</v>
      </c>
      <c r="C125" s="43" t="e">
        <f t="shared" si="9"/>
        <v>#DIV/0!</v>
      </c>
      <c r="D125" s="43" t="e">
        <f t="shared" si="10"/>
        <v>#DIV/0!</v>
      </c>
      <c r="E125" s="43" t="e">
        <f t="shared" si="11"/>
        <v>#DIV/0!</v>
      </c>
      <c r="F125" s="43" t="e">
        <f t="shared" si="12"/>
        <v>#DIV/0!</v>
      </c>
      <c r="G125" s="43" t="e">
        <f t="shared" si="7"/>
        <v>#DIV/0!</v>
      </c>
      <c r="H125" s="42"/>
    </row>
    <row r="126" spans="1:18" x14ac:dyDescent="0.25">
      <c r="A126" s="43">
        <v>0.95</v>
      </c>
      <c r="B126" s="43" t="e">
        <f t="shared" si="8"/>
        <v>#DIV/0!</v>
      </c>
      <c r="C126" s="43" t="e">
        <f t="shared" si="9"/>
        <v>#DIV/0!</v>
      </c>
      <c r="D126" s="43" t="e">
        <f t="shared" si="10"/>
        <v>#DIV/0!</v>
      </c>
      <c r="E126" s="43" t="e">
        <f t="shared" si="11"/>
        <v>#DIV/0!</v>
      </c>
      <c r="F126" s="43" t="e">
        <f t="shared" si="12"/>
        <v>#DIV/0!</v>
      </c>
      <c r="G126" s="43" t="e">
        <f t="shared" si="7"/>
        <v>#DIV/0!</v>
      </c>
      <c r="H126" s="42"/>
    </row>
    <row r="127" spans="1:18" x14ac:dyDescent="0.25">
      <c r="A127" s="43">
        <v>0.96</v>
      </c>
      <c r="B127" s="43" t="e">
        <f t="shared" si="8"/>
        <v>#DIV/0!</v>
      </c>
      <c r="C127" s="43" t="e">
        <f t="shared" si="9"/>
        <v>#DIV/0!</v>
      </c>
      <c r="D127" s="43" t="e">
        <f t="shared" si="10"/>
        <v>#DIV/0!</v>
      </c>
      <c r="E127" s="43" t="e">
        <f t="shared" si="11"/>
        <v>#DIV/0!</v>
      </c>
      <c r="F127" s="43" t="e">
        <f t="shared" si="12"/>
        <v>#DIV/0!</v>
      </c>
      <c r="G127" s="43" t="e">
        <f t="shared" ref="G127:G131" si="13">ABS(F127-A127)</f>
        <v>#DIV/0!</v>
      </c>
      <c r="H127" s="42"/>
    </row>
    <row r="128" spans="1:18" x14ac:dyDescent="0.25">
      <c r="A128" s="43">
        <v>0.97</v>
      </c>
      <c r="B128" s="43" t="e">
        <f t="shared" si="8"/>
        <v>#DIV/0!</v>
      </c>
      <c r="C128" s="43" t="e">
        <f t="shared" si="9"/>
        <v>#DIV/0!</v>
      </c>
      <c r="D128" s="43" t="e">
        <f t="shared" si="10"/>
        <v>#DIV/0!</v>
      </c>
      <c r="E128" s="43" t="e">
        <f t="shared" si="11"/>
        <v>#DIV/0!</v>
      </c>
      <c r="F128" s="43" t="e">
        <f t="shared" si="12"/>
        <v>#DIV/0!</v>
      </c>
      <c r="G128" s="43" t="e">
        <f t="shared" si="13"/>
        <v>#DIV/0!</v>
      </c>
      <c r="H128" s="42"/>
    </row>
    <row r="129" spans="1:8" x14ac:dyDescent="0.25">
      <c r="A129" s="43">
        <v>0.98</v>
      </c>
      <c r="B129" s="43" t="e">
        <f t="shared" si="8"/>
        <v>#DIV/0!</v>
      </c>
      <c r="C129" s="43" t="e">
        <f t="shared" si="9"/>
        <v>#DIV/0!</v>
      </c>
      <c r="D129" s="43" t="e">
        <f t="shared" si="10"/>
        <v>#DIV/0!</v>
      </c>
      <c r="E129" s="43" t="e">
        <f t="shared" si="11"/>
        <v>#DIV/0!</v>
      </c>
      <c r="F129" s="43" t="e">
        <f t="shared" si="12"/>
        <v>#DIV/0!</v>
      </c>
      <c r="G129" s="43" t="e">
        <f t="shared" si="13"/>
        <v>#DIV/0!</v>
      </c>
      <c r="H129" s="42"/>
    </row>
    <row r="130" spans="1:8" x14ac:dyDescent="0.25">
      <c r="A130" s="43">
        <v>0.99</v>
      </c>
      <c r="B130" s="43" t="e">
        <f t="shared" si="8"/>
        <v>#DIV/0!</v>
      </c>
      <c r="C130" s="43" t="e">
        <f t="shared" si="9"/>
        <v>#DIV/0!</v>
      </c>
      <c r="D130" s="43" t="e">
        <f t="shared" si="10"/>
        <v>#DIV/0!</v>
      </c>
      <c r="E130" s="43" t="e">
        <f t="shared" si="11"/>
        <v>#DIV/0!</v>
      </c>
      <c r="F130" s="43" t="e">
        <f t="shared" si="12"/>
        <v>#DIV/0!</v>
      </c>
      <c r="G130" s="43" t="e">
        <f t="shared" si="13"/>
        <v>#DIV/0!</v>
      </c>
      <c r="H130" s="42"/>
    </row>
    <row r="131" spans="1:8" x14ac:dyDescent="0.25">
      <c r="A131" s="43">
        <v>1</v>
      </c>
      <c r="B131" s="43" t="e">
        <f t="shared" si="8"/>
        <v>#DIV/0!</v>
      </c>
      <c r="C131" s="43" t="e">
        <f t="shared" si="9"/>
        <v>#DIV/0!</v>
      </c>
      <c r="D131" s="43" t="e">
        <f t="shared" si="10"/>
        <v>#DIV/0!</v>
      </c>
      <c r="E131" s="43" t="e">
        <f t="shared" si="11"/>
        <v>#DIV/0!</v>
      </c>
      <c r="F131" s="43" t="e">
        <f t="shared" si="12"/>
        <v>#DIV/0!</v>
      </c>
      <c r="G131" s="43" t="e">
        <f t="shared" si="13"/>
        <v>#DIV/0!</v>
      </c>
      <c r="H131" s="42"/>
    </row>
  </sheetData>
  <sheetProtection algorithmName="SHA-512" hashValue="K4ptJyBVzyEv5iAtg5/AEQf1dR50FmnvXchCTIiab5OU8qUiUmClEKjCxoY881OHdtUQwe9K9g6s5GmkYTRijA==" saltValue="F0dz59NUE/kgzsz0Jf8TxA==" spinCount="100000" sheet="1" scenarios="1" insertHyperlinks="0"/>
  <mergeCells count="49">
    <mergeCell ref="S2:S3"/>
    <mergeCell ref="C3:E3"/>
    <mergeCell ref="H11:I11"/>
    <mergeCell ref="A2:E2"/>
    <mergeCell ref="D5:E5"/>
    <mergeCell ref="B5:C5"/>
    <mergeCell ref="H2:R2"/>
    <mergeCell ref="H4:I5"/>
    <mergeCell ref="H10:I10"/>
    <mergeCell ref="H6:I6"/>
    <mergeCell ref="H7:I7"/>
    <mergeCell ref="H8:I8"/>
    <mergeCell ref="H9:I9"/>
    <mergeCell ref="A3:B3"/>
    <mergeCell ref="F2:F3"/>
    <mergeCell ref="J10:K10"/>
    <mergeCell ref="T10:X10"/>
    <mergeCell ref="T11:X11"/>
    <mergeCell ref="T6:X6"/>
    <mergeCell ref="T4:X5"/>
    <mergeCell ref="T7:X7"/>
    <mergeCell ref="T8:X8"/>
    <mergeCell ref="T9:X9"/>
    <mergeCell ref="J11:K11"/>
    <mergeCell ref="R4:R5"/>
    <mergeCell ref="M4:M5"/>
    <mergeCell ref="L4:L5"/>
    <mergeCell ref="J4:K5"/>
    <mergeCell ref="N4:N5"/>
    <mergeCell ref="O4:O5"/>
    <mergeCell ref="P4:P5"/>
    <mergeCell ref="Q4:Q5"/>
    <mergeCell ref="J6:K6"/>
    <mergeCell ref="J7:K7"/>
    <mergeCell ref="J8:K8"/>
    <mergeCell ref="J9:K9"/>
    <mergeCell ref="B11:C11"/>
    <mergeCell ref="D11:E11"/>
    <mergeCell ref="B7:C7"/>
    <mergeCell ref="A4:E4"/>
    <mergeCell ref="B8:C8"/>
    <mergeCell ref="B9:C9"/>
    <mergeCell ref="B10:C10"/>
    <mergeCell ref="D7:E7"/>
    <mergeCell ref="D8:E8"/>
    <mergeCell ref="D9:E9"/>
    <mergeCell ref="D10:E10"/>
    <mergeCell ref="B6:C6"/>
    <mergeCell ref="D6:E6"/>
  </mergeCells>
  <dataValidations disablePrompts="1" count="1">
    <dataValidation type="list" allowBlank="1" showInputMessage="1" showErrorMessage="1" sqref="L6:L11" xr:uid="{00000000-0002-0000-0700-000000000000}">
      <formula1>"Analog,Digital"</formula1>
    </dataValidation>
  </dataValidations>
  <pageMargins left="0.7" right="0.7" top="0.75" bottom="0.75" header="0.3" footer="0.3"/>
  <pageSetup orientation="portrait" r:id="rId1"/>
  <headerFooter>
    <oddFooter>&amp;R&amp;1#&amp;"Calibri"&amp;10&amp;KFF0000Public</oddFooter>
  </headerFooter>
  <ignoredErrors>
    <ignoredError sqref="B31:G131" evalError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Q34"/>
  <sheetViews>
    <sheetView zoomScaleNormal="100" workbookViewId="0"/>
  </sheetViews>
  <sheetFormatPr defaultColWidth="8.7109375" defaultRowHeight="13.5" x14ac:dyDescent="0.25"/>
  <cols>
    <col min="1" max="16384" width="8.7109375" style="2"/>
  </cols>
  <sheetData>
    <row r="1" spans="1:17" x14ac:dyDescent="0.25">
      <c r="A1" s="26" t="s">
        <v>1</v>
      </c>
      <c r="B1" s="12" t="str">
        <f>IF(
    OR(
        Other!$F$2=IncompleteText,
        Other!$L$2=IncompleteText,
        Other!$H$28=IncompleteText,
        Other!$Q$28=IncompleteText,
    ),
    IncompleteText,
    IF(
        OR(
Other!$F$2=IncompleteText,
        Other!$L$2=ErrorText,
        Other!$H$28=ErrorText,
        Other!$Q$28=ErrorText,
        ),
        ErrorText,
        OKText
    )
)</f>
        <v>BLANK</v>
      </c>
    </row>
    <row r="2" spans="1:17" x14ac:dyDescent="0.25">
      <c r="A2" s="46" t="s">
        <v>78</v>
      </c>
      <c r="B2" s="46"/>
      <c r="C2" s="46"/>
      <c r="D2" s="46"/>
      <c r="E2" s="46"/>
      <c r="F2" s="12" t="str">
        <f>IF(COUNTIF(F3:F7, "="&amp;IncompleteText), IncompleteText, IF(COUNTIF(F3:F7, "="&amp;ErrorText), ErrorText, OKText))</f>
        <v>BLANK</v>
      </c>
      <c r="G2" s="46" t="s">
        <v>79</v>
      </c>
      <c r="H2" s="46"/>
      <c r="I2" s="46"/>
      <c r="J2" s="46"/>
      <c r="K2" s="46"/>
      <c r="L2" s="12" t="str">
        <f>IF(COUNTIF(L3:L5, "="&amp;IncompleteText), IncompleteText, IF(COUNTIF(L3:L5, "="&amp;ErrorText), ErrorText, OKText))</f>
        <v>BLANK</v>
      </c>
    </row>
    <row r="3" spans="1:17" x14ac:dyDescent="0.25">
      <c r="A3" s="83" t="s">
        <v>23</v>
      </c>
      <c r="B3" s="83"/>
      <c r="C3" s="85"/>
      <c r="D3" s="109"/>
      <c r="E3" s="110"/>
      <c r="F3" s="12" t="str">
        <f>IF(ISBLANK(D3), IncompleteText, OKText)</f>
        <v>BLANK</v>
      </c>
      <c r="G3" s="83" t="s">
        <v>23</v>
      </c>
      <c r="H3" s="83"/>
      <c r="I3" s="85"/>
      <c r="J3" s="109"/>
      <c r="K3" s="110"/>
      <c r="L3" s="12" t="str">
        <f>IF(ISBLANK(J3), IncompleteText, OKText)</f>
        <v>BLANK</v>
      </c>
    </row>
    <row r="4" spans="1:17" x14ac:dyDescent="0.25">
      <c r="A4" s="83" t="s">
        <v>24</v>
      </c>
      <c r="B4" s="83"/>
      <c r="C4" s="83"/>
      <c r="D4" s="54"/>
      <c r="E4" s="54"/>
      <c r="F4" s="12" t="str">
        <f>IF(ISBLANK(D4), IncompleteText, OKText)</f>
        <v>BLANK</v>
      </c>
      <c r="G4" s="83" t="s">
        <v>24</v>
      </c>
      <c r="H4" s="83"/>
      <c r="I4" s="83"/>
      <c r="J4" s="54"/>
      <c r="K4" s="54"/>
      <c r="L4" s="12" t="str">
        <f>IF(ISBLANK(J4), IncompleteText, OKText)</f>
        <v>BLANK</v>
      </c>
    </row>
    <row r="5" spans="1:17" x14ac:dyDescent="0.25">
      <c r="A5" s="83" t="s">
        <v>35</v>
      </c>
      <c r="B5" s="83"/>
      <c r="C5" s="85"/>
      <c r="D5" s="54"/>
      <c r="E5" s="54"/>
      <c r="F5" s="12" t="str">
        <f>IF(ISBLANK(D5), IncompleteText, OKText)</f>
        <v>BLANK</v>
      </c>
      <c r="G5" s="83" t="s">
        <v>35</v>
      </c>
      <c r="H5" s="83"/>
      <c r="I5" s="85"/>
      <c r="J5" s="54"/>
      <c r="K5" s="54"/>
      <c r="L5" s="12" t="str">
        <f>IF(ISBLANK(J5), IncompleteText, OKText)</f>
        <v>BLANK</v>
      </c>
    </row>
    <row r="6" spans="1:17" x14ac:dyDescent="0.25">
      <c r="A6" s="181" t="s">
        <v>254</v>
      </c>
      <c r="B6" s="181"/>
      <c r="C6" s="181"/>
      <c r="D6" s="149"/>
      <c r="E6" s="182" t="s">
        <v>13</v>
      </c>
      <c r="F6" s="183" t="str">
        <f>IF(ISBLANK(D6),IncompleteText,IF(D6&lt;MaxTSVoltage,ErrorText,OKText))</f>
        <v>BLANK</v>
      </c>
    </row>
    <row r="7" spans="1:17" x14ac:dyDescent="0.25">
      <c r="A7" s="181"/>
      <c r="B7" s="181"/>
      <c r="C7" s="181"/>
      <c r="D7" s="162"/>
      <c r="E7" s="100"/>
      <c r="F7" s="183"/>
    </row>
    <row r="9" spans="1:17" x14ac:dyDescent="0.25">
      <c r="A9" s="148" t="s">
        <v>404</v>
      </c>
      <c r="B9" s="148"/>
      <c r="C9" s="148"/>
      <c r="D9" s="148"/>
      <c r="E9" s="148"/>
      <c r="F9" s="148"/>
      <c r="G9" s="148"/>
      <c r="H9" s="148"/>
      <c r="J9" s="148" t="s">
        <v>403</v>
      </c>
      <c r="K9" s="148"/>
      <c r="L9" s="148"/>
      <c r="M9" s="148"/>
      <c r="N9" s="148"/>
      <c r="O9" s="148"/>
      <c r="P9" s="148"/>
      <c r="Q9" s="148"/>
    </row>
    <row r="10" spans="1:17" x14ac:dyDescent="0.25">
      <c r="A10" s="148"/>
      <c r="B10" s="148"/>
      <c r="C10" s="148"/>
      <c r="D10" s="148"/>
      <c r="E10" s="148"/>
      <c r="F10" s="148"/>
      <c r="G10" s="148"/>
      <c r="H10" s="148"/>
      <c r="J10" s="148"/>
      <c r="K10" s="148"/>
      <c r="L10" s="148"/>
      <c r="M10" s="148"/>
      <c r="N10" s="148"/>
      <c r="O10" s="148"/>
      <c r="P10" s="148"/>
      <c r="Q10" s="148"/>
    </row>
    <row r="11" spans="1:17" x14ac:dyDescent="0.25">
      <c r="A11" s="148"/>
      <c r="B11" s="148"/>
      <c r="C11" s="148"/>
      <c r="D11" s="148"/>
      <c r="E11" s="148"/>
      <c r="F11" s="148"/>
      <c r="G11" s="148"/>
      <c r="H11" s="148"/>
      <c r="J11" s="148"/>
      <c r="K11" s="148"/>
      <c r="L11" s="148"/>
      <c r="M11" s="148"/>
      <c r="N11" s="148"/>
      <c r="O11" s="148"/>
      <c r="P11" s="148"/>
      <c r="Q11" s="148"/>
    </row>
    <row r="12" spans="1:17" x14ac:dyDescent="0.25">
      <c r="A12" s="148"/>
      <c r="B12" s="148"/>
      <c r="C12" s="148"/>
      <c r="D12" s="148"/>
      <c r="E12" s="148"/>
      <c r="F12" s="148"/>
      <c r="G12" s="148"/>
      <c r="H12" s="148"/>
      <c r="J12" s="148"/>
      <c r="K12" s="148"/>
      <c r="L12" s="148"/>
      <c r="M12" s="148"/>
      <c r="N12" s="148"/>
      <c r="O12" s="148"/>
      <c r="P12" s="148"/>
      <c r="Q12" s="148"/>
    </row>
    <row r="13" spans="1:17" x14ac:dyDescent="0.25">
      <c r="A13" s="148"/>
      <c r="B13" s="148"/>
      <c r="C13" s="148"/>
      <c r="D13" s="148"/>
      <c r="E13" s="148"/>
      <c r="F13" s="148"/>
      <c r="G13" s="148"/>
      <c r="H13" s="148"/>
      <c r="J13" s="148"/>
      <c r="K13" s="148"/>
      <c r="L13" s="148"/>
      <c r="M13" s="148"/>
      <c r="N13" s="148"/>
      <c r="O13" s="148"/>
      <c r="P13" s="148"/>
      <c r="Q13" s="148"/>
    </row>
    <row r="14" spans="1:17" x14ac:dyDescent="0.25">
      <c r="A14" s="148"/>
      <c r="B14" s="148"/>
      <c r="C14" s="148"/>
      <c r="D14" s="148"/>
      <c r="E14" s="148"/>
      <c r="F14" s="148"/>
      <c r="G14" s="148"/>
      <c r="H14" s="148"/>
      <c r="J14" s="148"/>
      <c r="K14" s="148"/>
      <c r="L14" s="148"/>
      <c r="M14" s="148"/>
      <c r="N14" s="148"/>
      <c r="O14" s="148"/>
      <c r="P14" s="148"/>
      <c r="Q14" s="148"/>
    </row>
    <row r="15" spans="1:17" x14ac:dyDescent="0.25">
      <c r="A15" s="148"/>
      <c r="B15" s="148"/>
      <c r="C15" s="148"/>
      <c r="D15" s="148"/>
      <c r="E15" s="148"/>
      <c r="F15" s="148"/>
      <c r="G15" s="148"/>
      <c r="H15" s="148"/>
      <c r="J15" s="148"/>
      <c r="K15" s="148"/>
      <c r="L15" s="148"/>
      <c r="M15" s="148"/>
      <c r="N15" s="148"/>
      <c r="O15" s="148"/>
      <c r="P15" s="148"/>
      <c r="Q15" s="148"/>
    </row>
    <row r="16" spans="1:17" x14ac:dyDescent="0.25">
      <c r="A16" s="148"/>
      <c r="B16" s="148"/>
      <c r="C16" s="148"/>
      <c r="D16" s="148"/>
      <c r="E16" s="148"/>
      <c r="F16" s="148"/>
      <c r="G16" s="148"/>
      <c r="H16" s="148"/>
      <c r="J16" s="148"/>
      <c r="K16" s="148"/>
      <c r="L16" s="148"/>
      <c r="M16" s="148"/>
      <c r="N16" s="148"/>
      <c r="O16" s="148"/>
      <c r="P16" s="148"/>
      <c r="Q16" s="148"/>
    </row>
    <row r="17" spans="1:17" x14ac:dyDescent="0.25">
      <c r="A17" s="148"/>
      <c r="B17" s="148"/>
      <c r="C17" s="148"/>
      <c r="D17" s="148"/>
      <c r="E17" s="148"/>
      <c r="F17" s="148"/>
      <c r="G17" s="148"/>
      <c r="H17" s="148"/>
      <c r="J17" s="148"/>
      <c r="K17" s="148"/>
      <c r="L17" s="148"/>
      <c r="M17" s="148"/>
      <c r="N17" s="148"/>
      <c r="O17" s="148"/>
      <c r="P17" s="148"/>
      <c r="Q17" s="148"/>
    </row>
    <row r="18" spans="1:17" x14ac:dyDescent="0.25">
      <c r="A18" s="148"/>
      <c r="B18" s="148"/>
      <c r="C18" s="148"/>
      <c r="D18" s="148"/>
      <c r="E18" s="148"/>
      <c r="F18" s="148"/>
      <c r="G18" s="148"/>
      <c r="H18" s="148"/>
      <c r="J18" s="148"/>
      <c r="K18" s="148"/>
      <c r="L18" s="148"/>
      <c r="M18" s="148"/>
      <c r="N18" s="148"/>
      <c r="O18" s="148"/>
      <c r="P18" s="148"/>
      <c r="Q18" s="148"/>
    </row>
    <row r="19" spans="1:17" x14ac:dyDescent="0.25">
      <c r="A19" s="148"/>
      <c r="B19" s="148"/>
      <c r="C19" s="148"/>
      <c r="D19" s="148"/>
      <c r="E19" s="148"/>
      <c r="F19" s="148"/>
      <c r="G19" s="148"/>
      <c r="H19" s="148"/>
      <c r="J19" s="148"/>
      <c r="K19" s="148"/>
      <c r="L19" s="148"/>
      <c r="M19" s="148"/>
      <c r="N19" s="148"/>
      <c r="O19" s="148"/>
      <c r="P19" s="148"/>
      <c r="Q19" s="148"/>
    </row>
    <row r="20" spans="1:17" x14ac:dyDescent="0.25">
      <c r="A20" s="148"/>
      <c r="B20" s="148"/>
      <c r="C20" s="148"/>
      <c r="D20" s="148"/>
      <c r="E20" s="148"/>
      <c r="F20" s="148"/>
      <c r="G20" s="148"/>
      <c r="H20" s="148"/>
      <c r="J20" s="148"/>
      <c r="K20" s="148"/>
      <c r="L20" s="148"/>
      <c r="M20" s="148"/>
      <c r="N20" s="148"/>
      <c r="O20" s="148"/>
      <c r="P20" s="148"/>
      <c r="Q20" s="148"/>
    </row>
    <row r="21" spans="1:17" x14ac:dyDescent="0.25">
      <c r="A21" s="148"/>
      <c r="B21" s="148"/>
      <c r="C21" s="148"/>
      <c r="D21" s="148"/>
      <c r="E21" s="148"/>
      <c r="F21" s="148"/>
      <c r="G21" s="148"/>
      <c r="H21" s="148"/>
      <c r="J21" s="148"/>
      <c r="K21" s="148"/>
      <c r="L21" s="148"/>
      <c r="M21" s="148"/>
      <c r="N21" s="148"/>
      <c r="O21" s="148"/>
      <c r="P21" s="148"/>
      <c r="Q21" s="148"/>
    </row>
    <row r="22" spans="1:17" x14ac:dyDescent="0.25">
      <c r="A22" s="148"/>
      <c r="B22" s="148"/>
      <c r="C22" s="148"/>
      <c r="D22" s="148"/>
      <c r="E22" s="148"/>
      <c r="F22" s="148"/>
      <c r="G22" s="148"/>
      <c r="H22" s="148"/>
      <c r="J22" s="148"/>
      <c r="K22" s="148"/>
      <c r="L22" s="148"/>
      <c r="M22" s="148"/>
      <c r="N22" s="148"/>
      <c r="O22" s="148"/>
      <c r="P22" s="148"/>
      <c r="Q22" s="148"/>
    </row>
    <row r="23" spans="1:17" x14ac:dyDescent="0.25">
      <c r="A23" s="148"/>
      <c r="B23" s="148"/>
      <c r="C23" s="148"/>
      <c r="D23" s="148"/>
      <c r="E23" s="148"/>
      <c r="F23" s="148"/>
      <c r="G23" s="148"/>
      <c r="H23" s="148"/>
      <c r="J23" s="148"/>
      <c r="K23" s="148"/>
      <c r="L23" s="148"/>
      <c r="M23" s="148"/>
      <c r="N23" s="148"/>
      <c r="O23" s="148"/>
      <c r="P23" s="148"/>
      <c r="Q23" s="148"/>
    </row>
    <row r="24" spans="1:17" x14ac:dyDescent="0.25">
      <c r="A24" s="148"/>
      <c r="B24" s="148"/>
      <c r="C24" s="148"/>
      <c r="D24" s="148"/>
      <c r="E24" s="148"/>
      <c r="F24" s="148"/>
      <c r="G24" s="148"/>
      <c r="H24" s="148"/>
      <c r="J24" s="148"/>
      <c r="K24" s="148"/>
      <c r="L24" s="148"/>
      <c r="M24" s="148"/>
      <c r="N24" s="148"/>
      <c r="O24" s="148"/>
      <c r="P24" s="148"/>
      <c r="Q24" s="148"/>
    </row>
    <row r="25" spans="1:17" x14ac:dyDescent="0.25">
      <c r="A25" s="148"/>
      <c r="B25" s="148"/>
      <c r="C25" s="148"/>
      <c r="D25" s="148"/>
      <c r="E25" s="148"/>
      <c r="F25" s="148"/>
      <c r="G25" s="148"/>
      <c r="H25" s="148"/>
      <c r="J25" s="148"/>
      <c r="K25" s="148"/>
      <c r="L25" s="148"/>
      <c r="M25" s="148"/>
      <c r="N25" s="148"/>
      <c r="O25" s="148"/>
      <c r="P25" s="148"/>
      <c r="Q25" s="148"/>
    </row>
    <row r="26" spans="1:17" x14ac:dyDescent="0.25">
      <c r="A26" s="148"/>
      <c r="B26" s="148"/>
      <c r="C26" s="148"/>
      <c r="D26" s="148"/>
      <c r="E26" s="148"/>
      <c r="F26" s="148"/>
      <c r="G26" s="148"/>
      <c r="H26" s="148"/>
      <c r="J26" s="148"/>
      <c r="K26" s="148"/>
      <c r="L26" s="148"/>
      <c r="M26" s="148"/>
      <c r="N26" s="148"/>
      <c r="O26" s="148"/>
      <c r="P26" s="148"/>
      <c r="Q26" s="148"/>
    </row>
    <row r="27" spans="1:17" x14ac:dyDescent="0.25">
      <c r="A27" s="148"/>
      <c r="B27" s="148"/>
      <c r="C27" s="148"/>
      <c r="D27" s="148"/>
      <c r="E27" s="148"/>
      <c r="F27" s="148"/>
      <c r="G27" s="148"/>
      <c r="H27" s="148"/>
      <c r="J27" s="148"/>
      <c r="K27" s="148"/>
      <c r="L27" s="148"/>
      <c r="M27" s="148"/>
      <c r="N27" s="148"/>
      <c r="O27" s="148"/>
      <c r="P27" s="148"/>
      <c r="Q27" s="148"/>
    </row>
    <row r="28" spans="1:17" x14ac:dyDescent="0.25">
      <c r="A28" s="46" t="s">
        <v>329</v>
      </c>
      <c r="B28" s="46"/>
      <c r="C28" s="46"/>
      <c r="D28" s="46"/>
      <c r="E28" s="46"/>
      <c r="F28" s="46"/>
      <c r="G28" s="46"/>
      <c r="H28" s="12" t="str">
        <f>IF(COUNTIF(H29, "="&amp;IncompleteText), IncompleteText, IF(COUNTIF(H29, "="&amp;ErrorText), ErrorText, OKText))</f>
        <v>BLANK</v>
      </c>
      <c r="J28" s="46" t="s">
        <v>325</v>
      </c>
      <c r="K28" s="46"/>
      <c r="L28" s="46"/>
      <c r="M28" s="46"/>
      <c r="N28" s="46"/>
      <c r="O28" s="46"/>
      <c r="P28" s="46"/>
      <c r="Q28" s="12" t="str">
        <f>IF(COUNTIF(Q29, "="&amp;IncompleteText), IncompleteText, IF(COUNTIF(Q29, "="&amp;ErrorText), ErrorText, OKText))</f>
        <v>BLANK</v>
      </c>
    </row>
    <row r="29" spans="1:17" x14ac:dyDescent="0.25">
      <c r="A29" s="83" t="s">
        <v>330</v>
      </c>
      <c r="B29" s="83"/>
      <c r="C29" s="83"/>
      <c r="D29" s="83"/>
      <c r="E29" s="83"/>
      <c r="F29" s="85"/>
      <c r="G29" s="3"/>
      <c r="H29" s="12" t="str">
        <f>IF(ISBLANK(G29),IncompleteText, IF(G29, OKText, ErrorText))</f>
        <v>BLANK</v>
      </c>
      <c r="J29" s="83" t="s">
        <v>326</v>
      </c>
      <c r="K29" s="83"/>
      <c r="L29" s="83"/>
      <c r="M29" s="83"/>
      <c r="N29" s="83"/>
      <c r="O29" s="85"/>
      <c r="P29" s="3"/>
      <c r="Q29" s="12" t="str">
        <f>IF(ISBLANK(P29),IncompleteText, IF(P29, OKText, ErrorText))</f>
        <v>BLANK</v>
      </c>
    </row>
    <row r="30" spans="1:17" x14ac:dyDescent="0.25">
      <c r="A30" s="46" t="s">
        <v>15</v>
      </c>
      <c r="B30" s="46"/>
      <c r="C30" s="46"/>
      <c r="D30" s="46"/>
      <c r="E30" s="46"/>
      <c r="F30" s="46"/>
      <c r="G30" s="46"/>
      <c r="J30" s="46" t="s">
        <v>15</v>
      </c>
      <c r="K30" s="46"/>
      <c r="L30" s="46"/>
      <c r="M30" s="46"/>
      <c r="N30" s="46"/>
      <c r="O30" s="46"/>
      <c r="P30" s="46"/>
    </row>
    <row r="31" spans="1:17" x14ac:dyDescent="0.25">
      <c r="A31" s="73"/>
      <c r="B31" s="74"/>
      <c r="C31" s="74"/>
      <c r="D31" s="74"/>
      <c r="E31" s="74"/>
      <c r="F31" s="74"/>
      <c r="G31" s="74"/>
      <c r="J31" s="74"/>
      <c r="K31" s="74"/>
      <c r="L31" s="74"/>
      <c r="M31" s="74"/>
      <c r="N31" s="74"/>
      <c r="O31" s="74"/>
      <c r="P31" s="74"/>
    </row>
    <row r="32" spans="1:17" x14ac:dyDescent="0.25">
      <c r="A32" s="73"/>
      <c r="B32" s="74"/>
      <c r="C32" s="74"/>
      <c r="D32" s="74"/>
      <c r="E32" s="74"/>
      <c r="F32" s="74"/>
      <c r="G32" s="74"/>
      <c r="J32" s="74"/>
      <c r="K32" s="74"/>
      <c r="L32" s="74"/>
      <c r="M32" s="74"/>
      <c r="N32" s="74"/>
      <c r="O32" s="74"/>
      <c r="P32" s="74"/>
    </row>
    <row r="33" spans="1:16" x14ac:dyDescent="0.25">
      <c r="A33" s="73"/>
      <c r="B33" s="74"/>
      <c r="C33" s="74"/>
      <c r="D33" s="74"/>
      <c r="E33" s="74"/>
      <c r="F33" s="74"/>
      <c r="G33" s="74"/>
      <c r="J33" s="74"/>
      <c r="K33" s="74"/>
      <c r="L33" s="74"/>
      <c r="M33" s="74"/>
      <c r="N33" s="74"/>
      <c r="O33" s="74"/>
      <c r="P33" s="74"/>
    </row>
    <row r="34" spans="1:16" x14ac:dyDescent="0.25">
      <c r="A34" s="73"/>
      <c r="B34" s="74"/>
      <c r="C34" s="74"/>
      <c r="D34" s="74"/>
      <c r="E34" s="74"/>
      <c r="F34" s="74"/>
      <c r="G34" s="74"/>
      <c r="J34" s="74"/>
      <c r="K34" s="74"/>
      <c r="L34" s="74"/>
      <c r="M34" s="74"/>
      <c r="N34" s="74"/>
      <c r="O34" s="74"/>
      <c r="P34" s="74"/>
    </row>
  </sheetData>
  <sheetProtection algorithmName="SHA-512" hashValue="0fpj14RIemgWu0rp5HHqCtVcCLi6JmGWeNhrnFUTfl89HvhWA/U7M/cTyqjAKTeC08+wbu96MBovyJTk65vjaQ==" saltValue="zlTBKLYYE2DOPY/lVdWjpQ==" spinCount="100000" sheet="1" scenarios="1" insertHyperlinks="0"/>
  <mergeCells count="28">
    <mergeCell ref="A30:G30"/>
    <mergeCell ref="A31:G34"/>
    <mergeCell ref="J5:K5"/>
    <mergeCell ref="A6:C7"/>
    <mergeCell ref="D6:D7"/>
    <mergeCell ref="E6:E7"/>
    <mergeCell ref="F6:F7"/>
    <mergeCell ref="J9:Q27"/>
    <mergeCell ref="J28:P28"/>
    <mergeCell ref="J29:O29"/>
    <mergeCell ref="J30:P30"/>
    <mergeCell ref="J31:P34"/>
    <mergeCell ref="G2:K2"/>
    <mergeCell ref="A28:G28"/>
    <mergeCell ref="A29:F29"/>
    <mergeCell ref="A2:E2"/>
    <mergeCell ref="A3:C3"/>
    <mergeCell ref="D3:E3"/>
    <mergeCell ref="A4:C4"/>
    <mergeCell ref="D4:E4"/>
    <mergeCell ref="A5:C5"/>
    <mergeCell ref="D5:E5"/>
    <mergeCell ref="A9:H27"/>
    <mergeCell ref="G3:I3"/>
    <mergeCell ref="J3:K3"/>
    <mergeCell ref="G4:I4"/>
    <mergeCell ref="J4:K4"/>
    <mergeCell ref="G5:I5"/>
  </mergeCells>
  <dataValidations disablePrompts="1" count="1">
    <dataValidation type="list" allowBlank="1" showInputMessage="1" showErrorMessage="1" sqref="G29 P29" xr:uid="{00000000-0002-0000-0800-000000000000}">
      <formula1>"TRUE,FALSE"</formula1>
    </dataValidation>
  </dataValidations>
  <pageMargins left="0.7" right="0.7" top="0.75" bottom="0.75" header="0.3" footer="0.3"/>
  <pageSetup orientation="portrait" r:id="rId1"/>
  <headerFooter>
    <oddFooter>&amp;R&amp;1#&amp;"Calibri"&amp;10&amp;KFF0000Public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Overview</vt:lpstr>
      <vt:lpstr>Datasheets</vt:lpstr>
      <vt:lpstr>TS Schematics</vt:lpstr>
      <vt:lpstr>Tractive Battery</vt:lpstr>
      <vt:lpstr>PrechargeDischarge</vt:lpstr>
      <vt:lpstr>Shutdown Circuit</vt:lpstr>
      <vt:lpstr>Charging</vt:lpstr>
      <vt:lpstr>Torque Security</vt:lpstr>
      <vt:lpstr>Other</vt:lpstr>
      <vt:lpstr>BattCellCapacity</vt:lpstr>
      <vt:lpstr>BattCellMaxContI</vt:lpstr>
      <vt:lpstr>BattCellMaxI</vt:lpstr>
      <vt:lpstr>BattCellMaxV</vt:lpstr>
      <vt:lpstr>BattCellNomV</vt:lpstr>
      <vt:lpstr>BusCap</vt:lpstr>
      <vt:lpstr>CellsPerTempSensor</vt:lpstr>
      <vt:lpstr>ConductorNames</vt:lpstr>
      <vt:lpstr>ConductorsTable</vt:lpstr>
      <vt:lpstr>ConnectorNames</vt:lpstr>
      <vt:lpstr>ConnectorsTable</vt:lpstr>
      <vt:lpstr>ContactorNames</vt:lpstr>
      <vt:lpstr>ContactorsTable</vt:lpstr>
      <vt:lpstr>DischargeRes</vt:lpstr>
      <vt:lpstr>FuseNames</vt:lpstr>
      <vt:lpstr>FusesTable</vt:lpstr>
      <vt:lpstr>InsulationNames</vt:lpstr>
      <vt:lpstr>InsulationsTable</vt:lpstr>
      <vt:lpstr>MainFuseA</vt:lpstr>
      <vt:lpstr>MaxTSVoltage</vt:lpstr>
      <vt:lpstr>NominalTSVoltage</vt:lpstr>
      <vt:lpstr>NumAccum</vt:lpstr>
      <vt:lpstr>PrechargeRes</vt:lpstr>
      <vt:lpstr>ResistorsNames</vt:lpstr>
      <vt:lpstr>ResistorsTable</vt:lpstr>
      <vt:lpstr>TotalCells</vt:lpstr>
    </vt:vector>
  </TitlesOfParts>
  <Manager/>
  <Company>Deere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Bocci Daniel J</dc:creator>
  <cp:keywords/>
  <dc:description/>
  <cp:lastModifiedBy>Kaley Zundel</cp:lastModifiedBy>
  <cp:revision/>
  <cp:lastPrinted>2024-09-26T02:20:06Z</cp:lastPrinted>
  <dcterms:created xsi:type="dcterms:W3CDTF">2016-02-19T16:36:42Z</dcterms:created>
  <dcterms:modified xsi:type="dcterms:W3CDTF">2026-10-13T13:49:48Z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9374dd-2437-4816-8d63-bf9cc1b578e5_Enabled">
    <vt:lpwstr>true</vt:lpwstr>
  </property>
  <property fmtid="{D5CDD505-2E9C-101B-9397-08002B2CF9AE}" pid="3" name="MSIP_Label_029374dd-2437-4816-8d63-bf9cc1b578e5_SetDate">
    <vt:lpwstr>2022-11-03T22:15:39Z</vt:lpwstr>
  </property>
  <property fmtid="{D5CDD505-2E9C-101B-9397-08002B2CF9AE}" pid="4" name="MSIP_Label_029374dd-2437-4816-8d63-bf9cc1b578e5_Method">
    <vt:lpwstr>Privileged</vt:lpwstr>
  </property>
  <property fmtid="{D5CDD505-2E9C-101B-9397-08002B2CF9AE}" pid="5" name="MSIP_Label_029374dd-2437-4816-8d63-bf9cc1b578e5_Name">
    <vt:lpwstr>Public</vt:lpwstr>
  </property>
  <property fmtid="{D5CDD505-2E9C-101B-9397-08002B2CF9AE}" pid="6" name="MSIP_Label_029374dd-2437-4816-8d63-bf9cc1b578e5_SiteId">
    <vt:lpwstr>39b03722-b836-496a-85ec-850f0957ca6b</vt:lpwstr>
  </property>
  <property fmtid="{D5CDD505-2E9C-101B-9397-08002B2CF9AE}" pid="7" name="MSIP_Label_029374dd-2437-4816-8d63-bf9cc1b578e5_ActionId">
    <vt:lpwstr>c1479c77-2325-4b16-959d-9cda815c05a9</vt:lpwstr>
  </property>
  <property fmtid="{D5CDD505-2E9C-101B-9397-08002B2CF9AE}" pid="8" name="MSIP_Label_029374dd-2437-4816-8d63-bf9cc1b578e5_ContentBits">
    <vt:lpwstr>2</vt:lpwstr>
  </property>
</Properties>
</file>